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69857a9eb4f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missas" sheetId="1" r:id="Rfb4d2fca060946a8"/>
    <x:sheet xmlns:r="http://schemas.openxmlformats.org/officeDocument/2006/relationships" name="Insumos" sheetId="2" r:id="Ra1ba3c4507f9439e"/>
    <x:sheet xmlns:r="http://schemas.openxmlformats.org/officeDocument/2006/relationships" name="Lotes" sheetId="3" r:id="R906662b213474f11"/>
    <x:sheet xmlns:r="http://schemas.openxmlformats.org/officeDocument/2006/relationships" name="Cenários de GMD" sheetId="4" r:id="R7e0e54105cf542ba"/>
    <x:sheet xmlns:r="http://schemas.openxmlformats.org/officeDocument/2006/relationships" name="Cenários de venda" sheetId="5" r:id="Rc90df0ada1464346"/>
    <x:sheet xmlns:r="http://schemas.openxmlformats.org/officeDocument/2006/relationships" name="Resultado econômico" sheetId="6" r:id="Rae19df26b5794f4c"/>
    <x:sheet xmlns:r="http://schemas.openxmlformats.org/officeDocument/2006/relationships" name="Sensibilidade da arroba" sheetId="7" r:id="R52a34f66872c4b19"/>
    <x:sheet xmlns:r="http://schemas.openxmlformats.org/officeDocument/2006/relationships" name="Recomendação final" sheetId="8" r:id="R95f145aa036f49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&quot;R$&quot; #,##0.00"/>
    <x:numFmt numFmtId="202" formatCode="dd/mm/yyyy"/>
    <x:numFmt numFmtId="203" formatCode="0.00"/>
    <x:numFmt numFmtId="204" formatCode="0.000"/>
  </x:numFmts>
  <x:fonts count="8">
    <x:font>
      <x:sz val="11"/>
      <x:name val="Carlito"/>
    </x:font>
    <x:font>
      <x:b/>
      <x:sz val="16"/>
      <x:color rgb="FFFFFF"/>
      <x:name val="Carlito"/>
    </x:font>
    <x:font>
      <x:b/>
      <x:sz val="11"/>
      <x:color rgb="183A2D"/>
      <x:name val="Carlito"/>
    </x:font>
    <x:font>
      <x:sz val="10"/>
      <x:color rgb="26342F"/>
      <x:name val="Carlito"/>
    </x:font>
    <x:font>
      <x:b/>
      <x:sz val="16"/>
      <x:color rgb="FFFFFF"/>
      <x:name val="Aptos"/>
    </x:font>
    <x:font>
      <x:sz val="11"/>
      <x:name val="Aptos"/>
    </x:font>
    <x:font>
      <x:b/>
      <x:sz val="11"/>
      <x:color rgb="183A2D"/>
      <x:name val="Aptos"/>
    </x:font>
    <x:font>
      <x:sz val="10"/>
      <x:color rgb="26342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1F4E3D"/>
      </x:patternFill>
    </x:fill>
    <x:fill>
      <x:patternFill patternType="solid">
        <x:fgColor rgb="DDEBE4"/>
      </x:patternFill>
    </x:fill>
  </x:fills>
  <x:borders count="3">
    <x:border/>
    <x:border>
      <x:left style="thin">
        <x:color rgb="B7C9C0"/>
      </x:left>
      <x:right style="thin">
        <x:color rgb="B7C9C0"/>
      </x:right>
      <x:top style="thin">
        <x:color rgb="B7C9C0"/>
      </x:top>
      <x:bottom style="thin">
        <x:color rgb="B7C9C0"/>
      </x:bottom>
    </x:border>
    <x:border>
      <x:left style="thin">
        <x:color rgb="D9E2DE"/>
      </x:left>
      <x:right style="thin">
        <x:color rgb="D9E2DE"/>
      </x:right>
      <x:top style="thin">
        <x:color rgb="D9E2DE"/>
      </x:top>
      <x:bottom style="thin">
        <x:color rgb="D9E2DE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3" fillId="0" borderId="2" xfId="0" applyNumberFormat="1" applyFont="1" applyFill="1" applyBorder="1"/>
    <x:xf numFmtId="200" fontId="3" fillId="0" borderId="2" xfId="0" applyNumberFormat="1" applyFont="1" applyFill="1" applyBorder="1"/>
    <x:xf numFmtId="201" fontId="3" fillId="0" borderId="2" xfId="0" applyNumberFormat="1" applyFont="1" applyFill="1" applyBorder="1"/>
    <x:xf numFmtId="202" fontId="3" fillId="0" borderId="2" xfId="0" applyNumberFormat="1" applyFont="1" applyFill="1" applyBorder="1"/>
    <x:xf numFmtId="203" fontId="3" fillId="0" borderId="2" xfId="0" applyNumberFormat="1" applyFont="1" applyFill="1" applyBorder="1"/>
    <x:xf numFmtId="204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7" fillId="0" borderId="2" xfId="0" applyNumberFormat="1" applyFont="1" applyFill="1" applyBorder="1"/>
    <x:xf numFmtId="200" fontId="7" fillId="0" borderId="2" xfId="0" applyNumberFormat="1" applyFont="1" applyFill="1" applyBorder="1"/>
    <x:xf numFmtId="201" fontId="7" fillId="0" borderId="2" xfId="0" applyNumberFormat="1" applyFont="1" applyFill="1" applyBorder="1"/>
    <x:xf numFmtId="202" fontId="7" fillId="0" borderId="2" xfId="0" applyNumberFormat="1" applyFont="1" applyFill="1" applyBorder="1"/>
    <x:xf numFmtId="203" fontId="7" fillId="0" borderId="2" xfId="0" applyNumberFormat="1" applyFont="1" applyFill="1" applyBorder="1"/>
    <x:xf numFmtId="204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92a012a6114d4b" /><Relationship Type="http://schemas.openxmlformats.org/officeDocument/2006/relationships/theme" Target="/xl/theme/theme1.xml" Id="Rbabe401135754885" /><Relationship Type="http://schemas.openxmlformats.org/officeDocument/2006/relationships/sharedStrings" Target="/xl/sharedStrings.xml" Id="Re315e86f03494002" /><Relationship Type="http://schemas.openxmlformats.org/officeDocument/2006/relationships/worksheet" Target="/xl/worksheets/sheet1.xml" Id="Rfb4d2fca060946a8" /><Relationship Type="http://schemas.openxmlformats.org/officeDocument/2006/relationships/worksheet" Target="/xl/worksheets/sheet2.xml" Id="Ra1ba3c4507f9439e" /><Relationship Type="http://schemas.openxmlformats.org/officeDocument/2006/relationships/worksheet" Target="/xl/worksheets/sheet3.xml" Id="R906662b213474f11" /><Relationship Type="http://schemas.openxmlformats.org/officeDocument/2006/relationships/worksheet" Target="/xl/worksheets/sheet4.xml" Id="R7e0e54105cf542ba" /><Relationship Type="http://schemas.openxmlformats.org/officeDocument/2006/relationships/worksheet" Target="/xl/worksheets/sheet5.xml" Id="Rc90df0ada1464346" /><Relationship Type="http://schemas.openxmlformats.org/officeDocument/2006/relationships/worksheet" Target="/xl/worksheets/sheet6.xml" Id="Rae19df26b5794f4c" /><Relationship Type="http://schemas.openxmlformats.org/officeDocument/2006/relationships/worksheet" Target="/xl/worksheets/sheet7.xml" Id="R52a34f66872c4b19" /><Relationship Type="http://schemas.openxmlformats.org/officeDocument/2006/relationships/worksheet" Target="/xl/worksheets/sheet8.xml" Id="R95f145aa036f49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.059999465942383" hidden="0" customWidth="1"/>
    <x:col min="2" max="2" width="18.399999618530273" hidden="0" customWidth="1"/>
    <x:col min="3" max="3" width="12.270000457763672" hidden="0" customWidth="1"/>
    <x:col min="4" max="4" width="53.369998931884766" hidden="0" customWidth="1"/>
  </x:cols>
  <x:sheetData>
    <x:row r="1" ht="25.5" customHeight="1">
      <x:c r="A1" s="16" t="str">
        <x:v>Premissas gerais do simulador</x:v>
      </x:c>
      <x:c r="B1" s="16"/>
      <x:c r="C1" s="16"/>
      <x:c r="D1" s="16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  <x:c r="AA1" s="17"/>
      <x:c r="AB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</x:row>
    <x:row r="3">
      <x:c r="A3" s="18" t="str">
        <x:v>Premissa</x:v>
      </x:c>
      <x:c r="B3" s="18" t="str">
        <x:v>Valor</x:v>
      </x:c>
      <x:c r="C3" s="18" t="str">
        <x:v>Unidade</x:v>
      </x:c>
      <x:c r="D3" s="18" t="str">
        <x:v>Comentário</x:v>
      </x:c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  <x:c r="AA3" s="17"/>
      <x:c r="AB3" s="17"/>
    </x:row>
    <x:row r="4">
      <x:c r="A4" s="19" t="str">
        <x:v>Rendimento de carcaça padrão</x:v>
      </x:c>
      <x:c r="B4" s="20" t="n">
        <x:v>0.55</x:v>
      </x:c>
      <x:c r="C4" s="19" t="str">
        <x:v>%</x:v>
      </x:c>
      <x:c r="D4" s="19" t="str">
        <x:v>Editável; usado para converter arroba em peso vivo.</x:v>
      </x:c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  <x:c r="AA4" s="17"/>
      <x:c r="AB4" s="17"/>
    </x:row>
    <x:row r="5">
      <x:c r="A5" s="19" t="str">
        <x:v>Kg por arroba de carcaça</x:v>
      </x:c>
      <x:c r="B5" s="19" t="n">
        <x:v>15</x:v>
      </x:c>
      <x:c r="C5" s="19" t="str">
        <x:v>kg</x:v>
      </x:c>
      <x:c r="D5" s="19" t="str">
        <x:v>Convenção de mercado.</x:v>
      </x:c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  <x:c r="AA5" s="17"/>
      <x:c r="AB5" s="17"/>
    </x:row>
    <x:row r="6">
      <x:c r="A6" s="19" t="str">
        <x:v>Preço base da arroba</x:v>
      </x:c>
      <x:c r="B6" s="21" t="n">
        <x:v>330</x:v>
      </x:c>
      <x:c r="C6" s="19" t="str">
        <x:v>R$/@</x:v>
      </x:c>
      <x:c r="D6" s="19" t="str">
        <x:v>Cenário base de venda.</x:v>
      </x:c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  <x:c r="AA6" s="17"/>
      <x:c r="AB6" s="17"/>
    </x:row>
    <x:row r="7">
      <x:c r="A7" s="19" t="str">
        <x:v>Dias por mês</x:v>
      </x:c>
      <x:c r="B7" s="21" t="n">
        <x:v>30</x:v>
      </x:c>
      <x:c r="C7" s="19" t="str">
        <x:v>dias</x:v>
      </x:c>
      <x:c r="D7" s="19" t="str">
        <x:v>Usado para custo mensal e ROI mensal.</x:v>
      </x:c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  <x:c r="AA7" s="17"/>
      <x:c r="AB7" s="17"/>
    </x:row>
    <x:row r="8">
      <x:c r="A8" s="19" t="str">
        <x:v>Custo operacional diário adicional</x:v>
      </x:c>
      <x:c r="B8" s="21" t="n">
        <x:v>0</x:v>
      </x:c>
      <x:c r="C8" s="19" t="str">
        <x:v>R$/cab/dia</x:v>
      </x:c>
      <x:c r="D8" s="19" t="str">
        <x:v>Use para veterinário, manejo, mão de obra, terra etc.</x:v>
      </x:c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  <x:c r="AA8" s="17"/>
      <x:c r="AB8" s="17"/>
    </x:row>
    <x:row r="9">
      <x:c r="A9" s="19" t="str">
        <x:v>Preço compra padrão</x:v>
      </x:c>
      <x:c r="B9" s="19" t="n">
        <x:v>1950</x:v>
      </x:c>
      <x:c r="C9" s="19" t="str">
        <x:v>R$/cab</x:v>
      </x:c>
      <x:c r="D9" s="19" t="str">
        <x:v>Usado quando o lote não tiver preço específico.</x:v>
      </x:c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</x:row>
    <x:row r="10">
      <x:c r="A10" s="19" t="str">
        <x:v>Capital e foco</x:v>
      </x:c>
      <x:c r="B10" s="19" t="str">
        <x:v>Lucro com giro rápido</x:v>
      </x:c>
      <x:c r="C10" s="19" t="str"/>
      <x:c r="D10" s="19" t="str">
        <x:v>Evitar perseguir 12@ se reduzir margem ou aumentar risco de seca.</x:v>
      </x:c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</x:row>
    <x:row r="11">
      <x:c r="A11" s="19" t="str">
        <x:v>Data do modelo</x:v>
      </x:c>
      <x:c r="B11" s="22" t="n">
        <x:v>46146</x:v>
      </x:c>
      <x:c r="C11" s="19" t="str"/>
      <x:c r="D11" s="19" t="str">
        <x:v>Modelo inicial criado a partir da planilha enviada.</x:v>
      </x:c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</x:row>
    <x:row r="12">
      <x:c r="A12" s="19" t="str">
        <x:v>Fonte do racional</x:v>
      </x:c>
      <x:c r="B12" s="19" t="str">
        <x:v>Planilha original + contexto operacional</x:v>
      </x:c>
      <x:c r="C12" s="19" t="str"/>
      <x:c r="D12" s="19" t="str">
        <x:v>Mantém lógica de receita, reposição, suplemento e resultado.</x:v>
      </x:c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</x:row>
    <x:row r="13">
      <x:c r="A13" s="19" t="str">
        <x:v>Observação</x:v>
      </x:c>
      <x:c r="B13" s="19" t="str">
        <x:v>Campos verdes/claros são premissas editáveis</x:v>
      </x:c>
      <x:c r="C13" s="19" t="str"/>
      <x:c r="D13" s="19" t="str">
        <x:v>Resultados recalculam no Excel.</x:v>
      </x:c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  <x:c r="AA25" s="17"/>
      <x:c r="AB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  <x:c r="AA26" s="17"/>
      <x:c r="AB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  <x:c r="AA27" s="17"/>
      <x:c r="AB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  <x:c r="AA28" s="17"/>
      <x:c r="AB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  <x:c r="AA29" s="17"/>
      <x:c r="AB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  <x:c r="AA30" s="17"/>
      <x:c r="AB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  <x:c r="AA32" s="17"/>
      <x:c r="AB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  <x:c r="AA33" s="17"/>
      <x:c r="AB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  <x:c r="AA34" s="17"/>
      <x:c r="AB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  <x:c r="AA35" s="17"/>
      <x:c r="AB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  <x:c r="AA36" s="17"/>
      <x:c r="AB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  <x:c r="AA37" s="17"/>
      <x:c r="AB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  <x:c r="AA40" s="17"/>
      <x:c r="AB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  <x:c r="AA41" s="17"/>
      <x:c r="AB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  <x:c r="AA42" s="17"/>
      <x:c r="AB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  <x:c r="AA44" s="17"/>
      <x:c r="AB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  <x:c r="AA45" s="17"/>
      <x:c r="AB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  <x:c r="AA46" s="17"/>
      <x:c r="AB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  <x:c r="AA47" s="17"/>
      <x:c r="AB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  <x:c r="AA48" s="17"/>
      <x:c r="AB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  <x:c r="AA49" s="17"/>
      <x:c r="AB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  <x:c r="AA51" s="17"/>
      <x:c r="AB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  <x:c r="AA52" s="17"/>
      <x:c r="AB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  <x:c r="AA53" s="17"/>
      <x:c r="AB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  <x:c r="AA54" s="17"/>
      <x:c r="AB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  <x:c r="AA55" s="17"/>
      <x:c r="AB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  <x:c r="AA56" s="17"/>
      <x:c r="AB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  <x:c r="AA57" s="17"/>
      <x:c r="AB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  <x:c r="AA58" s="17"/>
      <x:c r="AB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  <x:c r="AA59" s="17"/>
      <x:c r="AB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  <x:c r="AA60" s="17"/>
      <x:c r="AB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  <x:c r="AA61" s="17"/>
      <x:c r="AB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  <x:c r="AA62" s="17"/>
      <x:c r="AB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  <x:c r="AA63" s="17"/>
      <x:c r="AB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  <x:c r="AA64" s="17"/>
      <x:c r="AB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  <x:c r="AA65" s="17"/>
      <x:c r="AB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  <x:c r="AA66" s="17"/>
      <x:c r="AB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  <x:c r="AA68" s="17"/>
      <x:c r="AB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  <x:c r="AA69" s="17"/>
      <x:c r="AB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  <x:c r="AA70" s="17"/>
      <x:c r="AB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  <x:c r="AA71" s="17"/>
      <x:c r="AB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  <x:c r="AA72" s="17"/>
      <x:c r="AB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  <x:c r="AA74" s="17"/>
      <x:c r="AB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  <x:c r="AA75" s="17"/>
      <x:c r="AB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  <x:c r="AA77" s="17"/>
      <x:c r="AB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  <x:c r="AA78" s="17"/>
      <x:c r="AB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  <x:c r="AA79" s="17"/>
      <x:c r="AB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  <x:c r="AA80" s="17"/>
      <x:c r="AB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  <x:c r="AA81" s="17"/>
      <x:c r="AB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  <x:c r="AA82" s="17"/>
      <x:c r="AB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  <x:c r="AA83" s="17"/>
      <x:c r="AB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  <x:c r="AA84" s="17"/>
      <x:c r="AB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  <x:c r="AA85" s="17"/>
      <x:c r="AB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  <x:c r="AA86" s="17"/>
      <x:c r="AB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  <x:c r="AA87" s="17"/>
      <x:c r="AB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  <x:c r="AA88" s="17"/>
      <x:c r="AB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  <x:c r="AA89" s="17"/>
      <x:c r="AB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  <x:c r="AA90" s="17"/>
      <x:c r="AB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  <x:c r="AA91" s="17"/>
      <x:c r="AB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  <x:c r="AA92" s="17"/>
      <x:c r="AB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  <x:c r="AA94" s="17"/>
      <x:c r="AB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  <x:c r="AA95" s="17"/>
      <x:c r="AB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  <x:c r="AA97" s="17"/>
      <x:c r="AB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  <x:c r="AA98" s="17"/>
      <x:c r="AB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  <x:c r="AA102" s="17"/>
      <x:c r="AB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  <x:c r="AA103" s="17"/>
      <x:c r="AB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  <x:c r="AA104" s="17"/>
      <x:c r="AB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  <x:c r="AA105" s="17"/>
      <x:c r="AB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  <x:c r="AA107" s="17"/>
      <x:c r="AB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  <x:c r="AA110" s="17"/>
      <x:c r="AB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  <x:c r="AA114" s="17"/>
      <x:c r="AB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  <x:c r="AA117" s="17"/>
      <x:c r="AB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  <x:c r="AA119" s="17"/>
      <x:c r="AB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  <x:c r="AA120" s="17"/>
      <x:c r="AB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  <x:c r="AA121" s="17"/>
      <x:c r="AB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  <x:c r="AA122" s="17"/>
      <x:c r="AB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  <x:c r="AA123" s="17"/>
      <x:c r="AB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  <x:c r="AA125" s="17"/>
      <x:c r="AB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  <x:c r="AA126" s="17"/>
      <x:c r="AB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  <x:c r="AA127" s="17"/>
      <x:c r="AB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  <x:c r="AA128" s="17"/>
      <x:c r="AB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  <x:c r="AA129" s="17"/>
      <x:c r="AB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  <x:c r="AA130" s="17"/>
      <x:c r="AB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  <x:c r="AA131" s="17"/>
      <x:c r="AB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  <x:c r="AA132" s="17"/>
      <x:c r="AB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  <x:c r="AA133" s="17"/>
      <x:c r="AB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  <x:c r="AA136" s="17"/>
      <x:c r="AB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  <x:c r="AA137" s="17"/>
      <x:c r="AB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  <x:c r="AA140" s="17"/>
      <x:c r="AB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  <x:c r="AA143" s="17"/>
      <x:c r="AB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  <x:c r="AA144" s="17"/>
      <x:c r="AB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  <x:c r="AA145" s="17"/>
      <x:c r="AB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  <x:c r="AA146" s="17"/>
      <x:c r="AB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  <x:c r="AA147" s="17"/>
      <x:c r="AB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  <x:c r="AA149" s="17"/>
      <x:c r="AB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  <x:c r="AA151" s="17"/>
      <x:c r="AB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  <x:c r="AA152" s="17"/>
      <x:c r="AB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  <x:c r="AA153" s="17"/>
      <x:c r="AB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  <x:c r="AA155" s="17"/>
      <x:c r="AB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  <x:c r="AA156" s="17"/>
      <x:c r="AB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  <x:c r="AA158" s="17"/>
      <x:c r="AB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  <x:c r="AA159" s="17"/>
      <x:c r="AB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  <x:c r="AA160" s="17"/>
      <x:c r="AB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  <x:c r="AA163" s="17"/>
      <x:c r="AB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  <x:c r="AA164" s="17"/>
      <x:c r="AB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  <x:c r="AA165" s="17"/>
      <x:c r="AB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  <x:c r="AA166" s="17"/>
      <x:c r="AB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  <x:c r="AA168" s="17"/>
      <x:c r="AB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  <x:c r="AA169" s="17"/>
      <x:c r="AB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  <x:c r="AA171" s="17"/>
      <x:c r="AB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  <x:c r="AA172" s="17"/>
      <x:c r="AB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  <x:c r="AA173" s="17"/>
      <x:c r="AB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  <x:c r="AA174" s="17"/>
      <x:c r="AB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  <x:c r="AA175" s="17"/>
      <x:c r="AB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  <x:c r="AA176" s="17"/>
      <x:c r="AB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  <x:c r="AA178" s="17"/>
      <x:c r="AB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  <x:c r="AA180" s="17"/>
      <x:c r="AB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  <x:c r="AA181" s="17"/>
      <x:c r="AB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  <x:c r="AA182" s="17"/>
      <x:c r="AB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  <x:c r="AA184" s="17"/>
      <x:c r="AB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  <x:c r="AA185" s="17"/>
      <x:c r="AB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  <x:c r="AA187" s="17"/>
      <x:c r="AB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  <x:c r="AA190" s="17"/>
      <x:c r="AB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  <x:c r="AA191" s="17"/>
      <x:c r="AB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  <x:c r="AA192" s="17"/>
      <x:c r="AB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  <x:c r="AA193" s="17"/>
      <x:c r="AB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  <x:c r="AA196" s="17"/>
      <x:c r="AB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  <x:c r="AA197" s="17"/>
      <x:c r="AB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  <x:c r="AA200" s="17"/>
      <x:c r="AB200" s="17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559999465942383" hidden="0" customWidth="1"/>
    <x:col min="2" max="2" width="16.559999465942383" hidden="0" customWidth="1"/>
    <x:col min="3" max="3" width="16.559999465942383" hidden="0" customWidth="1"/>
    <x:col min="4" max="4" width="16.559999465942383" hidden="0" customWidth="1"/>
    <x:col min="5" max="5" width="16.559999465942383" hidden="0" customWidth="1"/>
    <x:col min="6" max="6" width="20.860000610351562" hidden="0" customWidth="1"/>
    <x:col min="7" max="7" width="25.149999618530273" hidden="0" customWidth="1"/>
    <x:col min="8" max="8" width="16.559999465942383" hidden="0" customWidth="1"/>
  </x:cols>
  <x:sheetData>
    <x:row r="1" ht="25.5" customHeight="1">
      <x:c r="A1" s="16" t="str">
        <x:v>Insumos e suplementação</x:v>
      </x:c>
      <x:c r="B1" s="16"/>
      <x:c r="C1" s="16"/>
      <x:c r="D1" s="16"/>
      <x:c r="E1" s="16"/>
      <x:c r="F1" s="16"/>
      <x:c r="G1" s="16"/>
      <x:c r="H1" s="16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  <x:c r="AA1" s="17"/>
      <x:c r="AB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</x:row>
    <x:row r="3">
      <x:c r="A3" s="18" t="str">
        <x:v>Insumo</x:v>
      </x:c>
      <x:c r="B3" s="18" t="str">
        <x:v>Tipo</x:v>
      </x:c>
      <x:c r="C3" s="18" t="str">
        <x:v>Preço saco</x:v>
      </x:c>
      <x:c r="D3" s="18" t="str">
        <x:v>Peso saco kg</x:v>
      </x:c>
      <x:c r="E3" s="18" t="str">
        <x:v>Custo kg</x:v>
      </x:c>
      <x:c r="F3" s="18" t="str">
        <x:v>Uso técnico</x:v>
      </x:c>
      <x:c r="G3" s="18" t="str">
        <x:v>Fornecedor/Obs.</x:v>
      </x:c>
      <x:c r="H3" s="18" t="str">
        <x:v>Editável</x:v>
      </x:c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  <x:c r="AA3" s="17"/>
      <x:c r="AB3" s="17"/>
    </x:row>
    <x:row r="4">
      <x:c r="A4" s="19" t="str">
        <x:v>Fortis Seca</x:v>
      </x:c>
      <x:c r="B4" s="19" t="str">
        <x:v>Proteinado com ureia</x:v>
      </x:c>
      <x:c r="C4" s="21" t="n">
        <x:v>75.9</x:v>
      </x:c>
      <x:c r="D4" s="19" t="n">
        <x:v>25</x:v>
      </x:c>
      <x:c r="E4" s="21" t="n">
        <x:f>C4/D4</x:f>
        <x:v>3.036</x:v>
      </x:c>
      <x:c r="F4" s="19" t="str">
        <x:v>0,1% PV</x:v>
      </x:c>
      <x:c r="G4" s="19" t="str">
        <x:v>Seca / ativação ruminal</x:v>
      </x:c>
      <x:c r="H4" s="19" t="str">
        <x:v>Sim</x:v>
      </x:c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  <x:c r="AA4" s="17"/>
      <x:c r="AB4" s="17"/>
    </x:row>
    <x:row r="5">
      <x:c r="A5" s="19" t="str">
        <x:v>Comigo Corte</x:v>
      </x:c>
      <x:c r="B5" s="19" t="str">
        <x:v>Proteico-energética</x:v>
      </x:c>
      <x:c r="C5" s="21" t="n">
        <x:v>59.5</x:v>
      </x:c>
      <x:c r="D5" s="19" t="n">
        <x:v>30</x:v>
      </x:c>
      <x:c r="E5" s="21" t="n">
        <x:f>C5/D5</x:f>
        <x:v>1.9833333333333334</x:v>
      </x:c>
      <x:c r="F5" s="19" t="str">
        <x:v>0,3% a 0,7% PV</x:v>
      </x:c>
      <x:c r="G5" s="19" t="str">
        <x:v>Reforço para engorda</x:v>
      </x:c>
      <x:c r="H5" s="19" t="str">
        <x:v>Sim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  <x:c r="AA5" s="17"/>
      <x:c r="AB5" s="17"/>
    </x:row>
    <x:row r="6">
      <x:c r="A6" s="19" t="str">
        <x:v>Outros</x:v>
      </x:c>
      <x:c r="B6" s="19" t="str">
        <x:v>Opcional</x:v>
      </x:c>
      <x:c r="C6" s="21" t="n">
        <x:v>0</x:v>
      </x:c>
      <x:c r="D6" s="19" t="n">
        <x:v>1</x:v>
      </x:c>
      <x:c r="E6" s="21" t="n">
        <x:f>IF(D6=0,0,C6/D6)</x:f>
        <x:v>0</x:v>
      </x:c>
      <x:c r="F6" s="19" t="str">
        <x:v>0% PV</x:v>
      </x:c>
      <x:c r="G6" s="19" t="str">
        <x:v>Campo reserva</x:v>
      </x:c>
      <x:c r="H6" s="19" t="str">
        <x:v>Sim</x:v>
      </x:c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  <x:c r="AA6" s="17"/>
      <x:c r="AB6" s="17"/>
    </x:row>
    <x:row r="7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  <x:c r="AA7" s="17"/>
      <x:c r="AB7" s="17"/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  <x:c r="AA8" s="17"/>
      <x:c r="AB8" s="17"/>
    </x:row>
    <x:row r="9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  <x:c r="AA25" s="17"/>
      <x:c r="AB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  <x:c r="AA26" s="17"/>
      <x:c r="AB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  <x:c r="AA27" s="17"/>
      <x:c r="AB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  <x:c r="AA28" s="17"/>
      <x:c r="AB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  <x:c r="AA29" s="17"/>
      <x:c r="AB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  <x:c r="AA30" s="17"/>
      <x:c r="AB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  <x:c r="AA32" s="17"/>
      <x:c r="AB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  <x:c r="AA33" s="17"/>
      <x:c r="AB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  <x:c r="AA34" s="17"/>
      <x:c r="AB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  <x:c r="AA35" s="17"/>
      <x:c r="AB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  <x:c r="AA36" s="17"/>
      <x:c r="AB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  <x:c r="AA37" s="17"/>
      <x:c r="AB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  <x:c r="AA40" s="17"/>
      <x:c r="AB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  <x:c r="AA41" s="17"/>
      <x:c r="AB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  <x:c r="AA42" s="17"/>
      <x:c r="AB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  <x:c r="AA44" s="17"/>
      <x:c r="AB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  <x:c r="AA45" s="17"/>
      <x:c r="AB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  <x:c r="AA46" s="17"/>
      <x:c r="AB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  <x:c r="AA47" s="17"/>
      <x:c r="AB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  <x:c r="AA48" s="17"/>
      <x:c r="AB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  <x:c r="AA49" s="17"/>
      <x:c r="AB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  <x:c r="AA51" s="17"/>
      <x:c r="AB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  <x:c r="AA52" s="17"/>
      <x:c r="AB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  <x:c r="AA53" s="17"/>
      <x:c r="AB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  <x:c r="AA54" s="17"/>
      <x:c r="AB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  <x:c r="AA55" s="17"/>
      <x:c r="AB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  <x:c r="AA56" s="17"/>
      <x:c r="AB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  <x:c r="AA57" s="17"/>
      <x:c r="AB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  <x:c r="AA58" s="17"/>
      <x:c r="AB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  <x:c r="AA59" s="17"/>
      <x:c r="AB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  <x:c r="AA60" s="17"/>
      <x:c r="AB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  <x:c r="AA61" s="17"/>
      <x:c r="AB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  <x:c r="AA62" s="17"/>
      <x:c r="AB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  <x:c r="AA63" s="17"/>
      <x:c r="AB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  <x:c r="AA64" s="17"/>
      <x:c r="AB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  <x:c r="AA65" s="17"/>
      <x:c r="AB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  <x:c r="AA66" s="17"/>
      <x:c r="AB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  <x:c r="AA68" s="17"/>
      <x:c r="AB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  <x:c r="AA69" s="17"/>
      <x:c r="AB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  <x:c r="AA70" s="17"/>
      <x:c r="AB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  <x:c r="AA71" s="17"/>
      <x:c r="AB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  <x:c r="AA72" s="17"/>
      <x:c r="AB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  <x:c r="AA74" s="17"/>
      <x:c r="AB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  <x:c r="AA75" s="17"/>
      <x:c r="AB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  <x:c r="AA77" s="17"/>
      <x:c r="AB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  <x:c r="AA78" s="17"/>
      <x:c r="AB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  <x:c r="AA79" s="17"/>
      <x:c r="AB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  <x:c r="AA80" s="17"/>
      <x:c r="AB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  <x:c r="AA81" s="17"/>
      <x:c r="AB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  <x:c r="AA82" s="17"/>
      <x:c r="AB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  <x:c r="AA83" s="17"/>
      <x:c r="AB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  <x:c r="AA84" s="17"/>
      <x:c r="AB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  <x:c r="AA85" s="17"/>
      <x:c r="AB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  <x:c r="AA86" s="17"/>
      <x:c r="AB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  <x:c r="AA87" s="17"/>
      <x:c r="AB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  <x:c r="AA88" s="17"/>
      <x:c r="AB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  <x:c r="AA89" s="17"/>
      <x:c r="AB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  <x:c r="AA90" s="17"/>
      <x:c r="AB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  <x:c r="AA91" s="17"/>
      <x:c r="AB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  <x:c r="AA92" s="17"/>
      <x:c r="AB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  <x:c r="AA94" s="17"/>
      <x:c r="AB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  <x:c r="AA95" s="17"/>
      <x:c r="AB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  <x:c r="AA97" s="17"/>
      <x:c r="AB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  <x:c r="AA98" s="17"/>
      <x:c r="AB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  <x:c r="AA102" s="17"/>
      <x:c r="AB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  <x:c r="AA103" s="17"/>
      <x:c r="AB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  <x:c r="AA104" s="17"/>
      <x:c r="AB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  <x:c r="AA105" s="17"/>
      <x:c r="AB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  <x:c r="AA107" s="17"/>
      <x:c r="AB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  <x:c r="AA110" s="17"/>
      <x:c r="AB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  <x:c r="AA114" s="17"/>
      <x:c r="AB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  <x:c r="AA117" s="17"/>
      <x:c r="AB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  <x:c r="AA119" s="17"/>
      <x:c r="AB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  <x:c r="AA120" s="17"/>
      <x:c r="AB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  <x:c r="AA121" s="17"/>
      <x:c r="AB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  <x:c r="AA122" s="17"/>
      <x:c r="AB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  <x:c r="AA123" s="17"/>
      <x:c r="AB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  <x:c r="AA125" s="17"/>
      <x:c r="AB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  <x:c r="AA126" s="17"/>
      <x:c r="AB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  <x:c r="AA127" s="17"/>
      <x:c r="AB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  <x:c r="AA128" s="17"/>
      <x:c r="AB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  <x:c r="AA129" s="17"/>
      <x:c r="AB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  <x:c r="AA130" s="17"/>
      <x:c r="AB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  <x:c r="AA131" s="17"/>
      <x:c r="AB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  <x:c r="AA132" s="17"/>
      <x:c r="AB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  <x:c r="AA133" s="17"/>
      <x:c r="AB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  <x:c r="AA136" s="17"/>
      <x:c r="AB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  <x:c r="AA137" s="17"/>
      <x:c r="AB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  <x:c r="AA140" s="17"/>
      <x:c r="AB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  <x:c r="AA143" s="17"/>
      <x:c r="AB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  <x:c r="AA144" s="17"/>
      <x:c r="AB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  <x:c r="AA145" s="17"/>
      <x:c r="AB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  <x:c r="AA146" s="17"/>
      <x:c r="AB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  <x:c r="AA147" s="17"/>
      <x:c r="AB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  <x:c r="AA149" s="17"/>
      <x:c r="AB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  <x:c r="AA151" s="17"/>
      <x:c r="AB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  <x:c r="AA152" s="17"/>
      <x:c r="AB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  <x:c r="AA153" s="17"/>
      <x:c r="AB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  <x:c r="AA155" s="17"/>
      <x:c r="AB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  <x:c r="AA156" s="17"/>
      <x:c r="AB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  <x:c r="AA158" s="17"/>
      <x:c r="AB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  <x:c r="AA159" s="17"/>
      <x:c r="AB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  <x:c r="AA160" s="17"/>
      <x:c r="AB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  <x:c r="AA163" s="17"/>
      <x:c r="AB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  <x:c r="AA164" s="17"/>
      <x:c r="AB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  <x:c r="AA165" s="17"/>
      <x:c r="AB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  <x:c r="AA166" s="17"/>
      <x:c r="AB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  <x:c r="AA168" s="17"/>
      <x:c r="AB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  <x:c r="AA169" s="17"/>
      <x:c r="AB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  <x:c r="AA171" s="17"/>
      <x:c r="AB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  <x:c r="AA172" s="17"/>
      <x:c r="AB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  <x:c r="AA173" s="17"/>
      <x:c r="AB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  <x:c r="AA174" s="17"/>
      <x:c r="AB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  <x:c r="AA175" s="17"/>
      <x:c r="AB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  <x:c r="AA176" s="17"/>
      <x:c r="AB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  <x:c r="AA178" s="17"/>
      <x:c r="AB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  <x:c r="AA180" s="17"/>
      <x:c r="AB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  <x:c r="AA181" s="17"/>
      <x:c r="AB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  <x:c r="AA182" s="17"/>
      <x:c r="AB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  <x:c r="AA184" s="17"/>
      <x:c r="AB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  <x:c r="AA185" s="17"/>
      <x:c r="AB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  <x:c r="AA187" s="17"/>
      <x:c r="AB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  <x:c r="AA190" s="17"/>
      <x:c r="AB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  <x:c r="AA191" s="17"/>
      <x:c r="AB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  <x:c r="AA192" s="17"/>
      <x:c r="AB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  <x:c r="AA193" s="17"/>
      <x:c r="AB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  <x:c r="AA196" s="17"/>
      <x:c r="AB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  <x:c r="AA197" s="17"/>
      <x:c r="AB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  <x:c r="AA200" s="17"/>
      <x:c r="AB200" s="17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.149999618530273" hidden="0" customWidth="1"/>
    <x:col min="6" max="6" width="27.610000610351562" hidden="0" customWidth="1"/>
    <x:col min="7" max="7" width="27.610000610351562" hidden="0" customWidth="1"/>
  </x:cols>
  <x:sheetData>
    <x:row r="1" ht="25.5" customHeight="1">
      <x:c r="A1" s="16" t="str">
        <x:v>Cadastro de lotes/grupos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  <x:c r="AA1" s="17"/>
      <x:c r="AB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</x:row>
    <x:row r="3">
      <x:c r="A3" s="18" t="str">
        <x:v>Lote</x:v>
      </x:c>
      <x:c r="B3" s="18" t="str">
        <x:v>Qtd.</x:v>
      </x:c>
      <x:c r="C3" s="18" t="str">
        <x:v>@ atual</x:v>
      </x:c>
      <x:c r="D3" s="18" t="str">
        <x:v>Preço compra/cab</x:v>
      </x:c>
      <x:c r="E3" s="18" t="str">
        <x:v>PV atual kg</x:v>
      </x:c>
      <x:c r="F3" s="18" t="str">
        <x:v>Observação</x:v>
      </x:c>
      <x:c r="G3" s="18" t="str">
        <x:v>Perfil de decisão</x:v>
      </x:c>
      <x:c r="H3" s="18" t="str">
        <x:v>Ativo?</x:v>
      </x:c>
      <x:c r="I3" s="18" t="str">
        <x:v>Pasto</x:v>
      </x:c>
      <x:c r="J3" s="18" t="str">
        <x:v>Risco</x:v>
      </x:c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  <x:c r="AA3" s="17"/>
      <x:c r="AB3" s="17"/>
    </x:row>
    <x:row r="4">
      <x:c r="A4" s="19" t="str">
        <x:v>Lote maior - base 8,5@</x:v>
      </x:c>
      <x:c r="B4" s="19" t="n">
        <x:v>17</x:v>
      </x:c>
      <x:c r="C4" s="23" t="n">
        <x:v>8.5</x:v>
      </x:c>
      <x:c r="D4" s="21" t="n">
        <x:v>1950</x:v>
      </x:c>
      <x:c r="E4" s="23" t="n">
        <x:f>C4*Premissas!$B$5/Premissas!$B$4</x:f>
        <x:v>231.8181818181818</x:v>
      </x:c>
      <x:c r="F4" s="19" t="str">
        <x:v>Cenário base visual</x:v>
      </x:c>
      <x:c r="G4" s="19" t="str">
        <x:v>Giro rápido</x:v>
      </x:c>
      <x:c r="H4" s="19" t="str">
        <x:v>Sim</x:v>
      </x:c>
      <x:c r="I4" s="19" t="str">
        <x:v>Secando</x:v>
      </x:c>
      <x:c r="J4" s="19" t="str">
        <x:v>Médio</x:v>
      </x:c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  <x:c r="AA4" s="17"/>
      <x:c r="AB4" s="17"/>
    </x:row>
    <x:row r="5">
      <x:c r="A5" s="19" t="str">
        <x:v>Lote maior - otimista 9@</x:v>
      </x:c>
      <x:c r="B5" s="19" t="n">
        <x:v>17</x:v>
      </x:c>
      <x:c r="C5" s="23" t="n">
        <x:v>9</x:v>
      </x:c>
      <x:c r="D5" s="21" t="n">
        <x:v>1950</x:v>
      </x:c>
      <x:c r="E5" s="23" t="n">
        <x:f>C5*Premissas!$B$5/Premissas!$B$4</x:f>
        <x:v>245.45454545454544</x:v>
      </x:c>
      <x:c r="F5" s="19" t="str">
        <x:v>Cenário otimista visual</x:v>
      </x:c>
      <x:c r="G5" s="19" t="str">
        <x:v>Giro rápido</x:v>
      </x:c>
      <x:c r="H5" s="19" t="str">
        <x:v>Sim</x:v>
      </x:c>
      <x:c r="I5" s="19" t="str">
        <x:v>Secando</x:v>
      </x:c>
      <x:c r="J5" s="19" t="str">
        <x:v>Médio</x:v>
      </x:c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  <x:c r="AA5" s="17"/>
      <x:c r="AB5" s="17"/>
    </x:row>
    <x:row r="6">
      <x:c r="A6" s="19" t="str">
        <x:v>Grupo médio 7,75@</x:v>
      </x:c>
      <x:c r="B6" s="19" t="n">
        <x:v>0</x:v>
      </x:c>
      <x:c r="C6" s="23" t="n">
        <x:v>7.75</x:v>
      </x:c>
      <x:c r="D6" s="21" t="n">
        <x:v>1950</x:v>
      </x:c>
      <x:c r="E6" s="23" t="n">
        <x:f>C6*Premissas!$B$5/Premissas!$B$4</x:f>
        <x:v>211.36363636363635</x:v>
      </x:c>
      <x:c r="F6" s="19" t="str">
        <x:v>Editar quantidade quando definida</x:v>
      </x:c>
      <x:c r="G6" s="19" t="str">
        <x:v>Intermediário</x:v>
      </x:c>
      <x:c r="H6" s="19" t="str">
        <x:v>Sim</x:v>
      </x:c>
      <x:c r="I6" s="19" t="str">
        <x:v>Secando</x:v>
      </x:c>
      <x:c r="J6" s="19" t="str">
        <x:v>Médio</x:v>
      </x:c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  <x:c r="AA6" s="17"/>
      <x:c r="AB6" s="17"/>
    </x:row>
    <x:row r="7">
      <x:c r="A7" s="19" t="str">
        <x:v>Bezerras pequenas 4@</x:v>
      </x:c>
      <x:c r="B7" s="19" t="n">
        <x:v>0</x:v>
      </x:c>
      <x:c r="C7" s="23" t="n">
        <x:v>4</x:v>
      </x:c>
      <x:c r="D7" s="21" t="n">
        <x:v>0</x:v>
      </x:c>
      <x:c r="E7" s="23" t="n">
        <x:f>C7*Premissas!$B$5/Premissas!$B$4</x:f>
        <x:v>109.09090909090908</x:v>
      </x:c>
      <x:c r="F7" s="19" t="str">
        <x:v>Não forçar alto consumo</x:v>
      </x:c>
      <x:c r="G7" s="19" t="str">
        <x:v>Crescimento barato</x:v>
      </x:c>
      <x:c r="H7" s="19" t="str">
        <x:v>Sim</x:v>
      </x:c>
      <x:c r="I7" s="19" t="str">
        <x:v>Secando</x:v>
      </x:c>
      <x:c r="J7" s="19" t="str">
        <x:v>Alto</x:v>
      </x:c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  <x:c r="AA7" s="17"/>
      <x:c r="AB7" s="17"/>
    </x:row>
    <x:row r="8">
      <x:c r="A8" s="19" t="str">
        <x:v>Novo lote</x:v>
      </x:c>
      <x:c r="B8" s="19" t="n">
        <x:v>0</x:v>
      </x:c>
      <x:c r="C8" s="23" t="n">
        <x:v>0</x:v>
      </x:c>
      <x:c r="D8" s="21" t="n">
        <x:v>0</x:v>
      </x:c>
      <x:c r="E8" s="23" t="n">
        <x:f>IF(C8=0,0,C8*Premissas!$B$5/Premissas!$B$4)</x:f>
        <x:v>0</x:v>
      </x:c>
      <x:c r="F8" s="19" t="str">
        <x:v>Linha reserva</x:v>
      </x:c>
      <x:c r="G8" s="19" t="str">
        <x:v>A definir</x:v>
      </x:c>
      <x:c r="H8" s="19" t="str">
        <x:v>Não</x:v>
      </x:c>
      <x:c r="I8" s="19" t="str"/>
      <x:c r="J8" s="19" t="str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  <x:c r="AA8" s="17"/>
      <x:c r="AB8" s="17"/>
    </x:row>
    <x:row r="9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  <x:c r="AA25" s="17"/>
      <x:c r="AB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  <x:c r="AA26" s="17"/>
      <x:c r="AB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  <x:c r="AA27" s="17"/>
      <x:c r="AB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  <x:c r="AA28" s="17"/>
      <x:c r="AB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  <x:c r="AA29" s="17"/>
      <x:c r="AB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  <x:c r="AA30" s="17"/>
      <x:c r="AB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  <x:c r="AA32" s="17"/>
      <x:c r="AB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  <x:c r="AA33" s="17"/>
      <x:c r="AB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  <x:c r="AA34" s="17"/>
      <x:c r="AB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  <x:c r="AA35" s="17"/>
      <x:c r="AB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  <x:c r="AA36" s="17"/>
      <x:c r="AB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  <x:c r="AA37" s="17"/>
      <x:c r="AB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  <x:c r="AA40" s="17"/>
      <x:c r="AB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  <x:c r="AA41" s="17"/>
      <x:c r="AB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  <x:c r="AA42" s="17"/>
      <x:c r="AB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  <x:c r="AA44" s="17"/>
      <x:c r="AB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  <x:c r="AA45" s="17"/>
      <x:c r="AB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  <x:c r="AA46" s="17"/>
      <x:c r="AB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  <x:c r="AA47" s="17"/>
      <x:c r="AB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  <x:c r="AA48" s="17"/>
      <x:c r="AB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  <x:c r="AA49" s="17"/>
      <x:c r="AB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  <x:c r="AA51" s="17"/>
      <x:c r="AB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  <x:c r="AA52" s="17"/>
      <x:c r="AB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  <x:c r="AA53" s="17"/>
      <x:c r="AB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  <x:c r="AA54" s="17"/>
      <x:c r="AB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  <x:c r="AA55" s="17"/>
      <x:c r="AB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  <x:c r="AA56" s="17"/>
      <x:c r="AB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  <x:c r="AA57" s="17"/>
      <x:c r="AB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  <x:c r="AA58" s="17"/>
      <x:c r="AB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  <x:c r="AA59" s="17"/>
      <x:c r="AB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  <x:c r="AA60" s="17"/>
      <x:c r="AB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  <x:c r="AA61" s="17"/>
      <x:c r="AB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  <x:c r="AA62" s="17"/>
      <x:c r="AB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  <x:c r="AA63" s="17"/>
      <x:c r="AB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  <x:c r="AA64" s="17"/>
      <x:c r="AB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  <x:c r="AA65" s="17"/>
      <x:c r="AB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  <x:c r="AA66" s="17"/>
      <x:c r="AB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  <x:c r="AA68" s="17"/>
      <x:c r="AB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  <x:c r="AA69" s="17"/>
      <x:c r="AB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  <x:c r="AA70" s="17"/>
      <x:c r="AB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  <x:c r="AA71" s="17"/>
      <x:c r="AB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  <x:c r="AA72" s="17"/>
      <x:c r="AB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  <x:c r="AA74" s="17"/>
      <x:c r="AB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  <x:c r="AA75" s="17"/>
      <x:c r="AB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  <x:c r="AA77" s="17"/>
      <x:c r="AB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  <x:c r="AA78" s="17"/>
      <x:c r="AB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  <x:c r="AA79" s="17"/>
      <x:c r="AB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  <x:c r="AA80" s="17"/>
      <x:c r="AB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  <x:c r="AA81" s="17"/>
      <x:c r="AB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  <x:c r="AA82" s="17"/>
      <x:c r="AB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  <x:c r="AA83" s="17"/>
      <x:c r="AB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  <x:c r="AA84" s="17"/>
      <x:c r="AB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  <x:c r="AA85" s="17"/>
      <x:c r="AB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  <x:c r="AA86" s="17"/>
      <x:c r="AB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  <x:c r="AA87" s="17"/>
      <x:c r="AB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  <x:c r="AA88" s="17"/>
      <x:c r="AB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  <x:c r="AA89" s="17"/>
      <x:c r="AB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  <x:c r="AA90" s="17"/>
      <x:c r="AB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  <x:c r="AA91" s="17"/>
      <x:c r="AB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  <x:c r="AA92" s="17"/>
      <x:c r="AB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  <x:c r="AA94" s="17"/>
      <x:c r="AB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  <x:c r="AA95" s="17"/>
      <x:c r="AB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  <x:c r="AA97" s="17"/>
      <x:c r="AB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  <x:c r="AA98" s="17"/>
      <x:c r="AB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  <x:c r="AA102" s="17"/>
      <x:c r="AB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  <x:c r="AA103" s="17"/>
      <x:c r="AB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  <x:c r="AA104" s="17"/>
      <x:c r="AB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  <x:c r="AA105" s="17"/>
      <x:c r="AB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  <x:c r="AA107" s="17"/>
      <x:c r="AB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  <x:c r="AA110" s="17"/>
      <x:c r="AB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  <x:c r="AA114" s="17"/>
      <x:c r="AB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  <x:c r="AA117" s="17"/>
      <x:c r="AB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  <x:c r="AA119" s="17"/>
      <x:c r="AB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  <x:c r="AA120" s="17"/>
      <x:c r="AB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  <x:c r="AA121" s="17"/>
      <x:c r="AB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  <x:c r="AA122" s="17"/>
      <x:c r="AB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  <x:c r="AA123" s="17"/>
      <x:c r="AB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  <x:c r="AA125" s="17"/>
      <x:c r="AB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  <x:c r="AA126" s="17"/>
      <x:c r="AB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  <x:c r="AA127" s="17"/>
      <x:c r="AB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  <x:c r="AA128" s="17"/>
      <x:c r="AB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  <x:c r="AA129" s="17"/>
      <x:c r="AB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  <x:c r="AA130" s="17"/>
      <x:c r="AB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  <x:c r="AA131" s="17"/>
      <x:c r="AB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  <x:c r="AA132" s="17"/>
      <x:c r="AB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  <x:c r="AA133" s="17"/>
      <x:c r="AB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  <x:c r="AA136" s="17"/>
      <x:c r="AB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  <x:c r="AA137" s="17"/>
      <x:c r="AB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  <x:c r="AA140" s="17"/>
      <x:c r="AB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  <x:c r="AA143" s="17"/>
      <x:c r="AB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  <x:c r="AA144" s="17"/>
      <x:c r="AB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  <x:c r="AA145" s="17"/>
      <x:c r="AB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  <x:c r="AA146" s="17"/>
      <x:c r="AB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  <x:c r="AA147" s="17"/>
      <x:c r="AB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  <x:c r="AA149" s="17"/>
      <x:c r="AB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  <x:c r="AA151" s="17"/>
      <x:c r="AB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  <x:c r="AA152" s="17"/>
      <x:c r="AB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  <x:c r="AA153" s="17"/>
      <x:c r="AB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  <x:c r="AA155" s="17"/>
      <x:c r="AB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  <x:c r="AA156" s="17"/>
      <x:c r="AB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  <x:c r="AA158" s="17"/>
      <x:c r="AB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  <x:c r="AA159" s="17"/>
      <x:c r="AB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  <x:c r="AA160" s="17"/>
      <x:c r="AB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  <x:c r="AA163" s="17"/>
      <x:c r="AB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  <x:c r="AA164" s="17"/>
      <x:c r="AB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  <x:c r="AA165" s="17"/>
      <x:c r="AB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  <x:c r="AA166" s="17"/>
      <x:c r="AB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  <x:c r="AA168" s="17"/>
      <x:c r="AB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  <x:c r="AA169" s="17"/>
      <x:c r="AB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  <x:c r="AA171" s="17"/>
      <x:c r="AB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  <x:c r="AA172" s="17"/>
      <x:c r="AB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  <x:c r="AA173" s="17"/>
      <x:c r="AB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  <x:c r="AA174" s="17"/>
      <x:c r="AB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  <x:c r="AA175" s="17"/>
      <x:c r="AB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  <x:c r="AA176" s="17"/>
      <x:c r="AB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  <x:c r="AA178" s="17"/>
      <x:c r="AB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  <x:c r="AA180" s="17"/>
      <x:c r="AB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  <x:c r="AA181" s="17"/>
      <x:c r="AB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  <x:c r="AA182" s="17"/>
      <x:c r="AB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  <x:c r="AA184" s="17"/>
      <x:c r="AB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  <x:c r="AA185" s="17"/>
      <x:c r="AB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  <x:c r="AA187" s="17"/>
      <x:c r="AB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  <x:c r="AA190" s="17"/>
      <x:c r="AB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  <x:c r="AA191" s="17"/>
      <x:c r="AB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  <x:c r="AA192" s="17"/>
      <x:c r="AB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  <x:c r="AA193" s="17"/>
      <x:c r="AB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  <x:c r="AA196" s="17"/>
      <x:c r="AB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  <x:c r="AA197" s="17"/>
      <x:c r="AB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  <x:c r="AA200" s="17"/>
      <x:c r="AB200" s="17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.18000030517578" hidden="0" customWidth="1"/>
    <x:col min="2" max="2" width="17.18000030517578" hidden="0" customWidth="1"/>
    <x:col min="3" max="3" width="17.18000030517578" hidden="0" customWidth="1"/>
    <x:col min="4" max="4" width="17.18000030517578" hidden="0" customWidth="1"/>
    <x:col min="5" max="5" width="17.18000030517578" hidden="0" customWidth="1"/>
    <x:col min="6" max="6" width="17.18000030517578" hidden="0" customWidth="1"/>
    <x:col min="7" max="7" width="17.18000030517578" hidden="0" customWidth="1"/>
    <x:col min="8" max="8" width="31.290000915527344" hidden="0" customWidth="1"/>
  </x:cols>
  <x:sheetData>
    <x:row r="1" ht="25.5" customHeight="1">
      <x:c r="A1" s="16" t="str">
        <x:v>Estratégias e cenários de ganho médio diário</x:v>
      </x:c>
      <x:c r="B1" s="16"/>
      <x:c r="C1" s="16"/>
      <x:c r="D1" s="16"/>
      <x:c r="E1" s="16"/>
      <x:c r="F1" s="16"/>
      <x:c r="G1" s="16"/>
      <x:c r="H1" s="16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  <x:c r="AA1" s="17"/>
      <x:c r="AB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</x:row>
    <x:row r="3">
      <x:c r="A3" s="18" t="str">
        <x:v>Estratégia</x:v>
      </x:c>
      <x:c r="B3" s="18" t="str">
        <x:v>Cenário GMD</x:v>
      </x:c>
      <x:c r="C3" s="18" t="str">
        <x:v>GMD kg/dia</x:v>
      </x:c>
      <x:c r="D3" s="18" t="str">
        <x:v>% Fortis PV</x:v>
      </x:c>
      <x:c r="E3" s="18" t="str">
        <x:v>% Comigo PV</x:v>
      </x:c>
      <x:c r="F3" s="18" t="str">
        <x:v>Custo esperado</x:v>
      </x:c>
      <x:c r="G3" s="18" t="str">
        <x:v>Risco seca</x:v>
      </x:c>
      <x:c r="H3" s="18" t="str">
        <x:v>Comentário</x:v>
      </x:c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  <x:c r="AA3" s="17"/>
      <x:c r="AB3" s="17"/>
    </x:row>
    <x:row r="4">
      <x:c r="A4" s="19" t="str">
        <x:v>Somente Fortis</x:v>
      </x:c>
      <x:c r="B4" s="19" t="str">
        <x:v>Pasto fraco</x:v>
      </x:c>
      <x:c r="C4" s="24" t="n">
        <x:v>0.1</x:v>
      </x:c>
      <x:c r="D4" s="24" t="n">
        <x:v>0.001</x:v>
      </x:c>
      <x:c r="E4" s="24" t="n">
        <x:v>0</x:v>
      </x:c>
      <x:c r="F4" s="19" t="str">
        <x:v>Baixo</x:v>
      </x:c>
      <x:c r="G4" s="19" t="str">
        <x:v>Alto</x:v>
      </x:c>
      <x:c r="H4" s="19" t="str">
        <x:v>Manutenção/crescimento lento na seca.</x:v>
      </x:c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  <x:c r="AA4" s="17"/>
      <x:c r="AB4" s="17"/>
    </x:row>
    <x:row r="5">
      <x:c r="A5" s="19" t="str">
        <x:v>Somente Fortis</x:v>
      </x:c>
      <x:c r="B5" s="19" t="str">
        <x:v>Pasto médio</x:v>
      </x:c>
      <x:c r="C5" s="24" t="n">
        <x:v>0.3</x:v>
      </x:c>
      <x:c r="D5" s="24" t="n">
        <x:v>0.001</x:v>
      </x:c>
      <x:c r="E5" s="24" t="n">
        <x:v>0</x:v>
      </x:c>
      <x:c r="F5" s="19" t="str">
        <x:v>Baixo</x:v>
      </x:c>
      <x:c r="G5" s="19" t="str">
        <x:v>Médio</x:v>
      </x:c>
      <x:c r="H5" s="19" t="str">
        <x:v>Pode ser útil para pequenas.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  <x:c r="AA5" s="17"/>
      <x:c r="AB5" s="17"/>
    </x:row>
    <x:row r="6">
      <x:c r="A6" s="19" t="str">
        <x:v>Somente Fortis</x:v>
      </x:c>
      <x:c r="B6" s="19" t="str">
        <x:v>Pasto bom</x:v>
      </x:c>
      <x:c r="C6" s="24" t="n">
        <x:v>0.5</x:v>
      </x:c>
      <x:c r="D6" s="24" t="n">
        <x:v>0.001</x:v>
      </x:c>
      <x:c r="E6" s="24" t="n">
        <x:v>0</x:v>
      </x:c>
      <x:c r="F6" s="19" t="str">
        <x:v>Baixo</x:v>
      </x:c>
      <x:c r="G6" s="19" t="str">
        <x:v>Médio</x:v>
      </x:c>
      <x:c r="H6" s="19" t="str">
        <x:v>Depende muito de oferta de pasto.</x:v>
      </x:c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  <x:c r="AA6" s="17"/>
      <x:c r="AB6" s="17"/>
    </x:row>
    <x:row r="7">
      <x:c r="A7" s="19" t="str">
        <x:v>Econômica</x:v>
      </x:c>
      <x:c r="B7" s="19" t="str">
        <x:v>Conservador</x:v>
      </x:c>
      <x:c r="C7" s="24" t="n">
        <x:v>0.4</x:v>
      </x:c>
      <x:c r="D7" s="24" t="n">
        <x:v>0.001</x:v>
      </x:c>
      <x:c r="E7" s="24" t="n">
        <x:v>0.003</x:v>
      </x:c>
      <x:c r="F7" s="19" t="str">
        <x:v>Médio</x:v>
      </x:c>
      <x:c r="G7" s="19" t="str">
        <x:v>Médio</x:v>
      </x:c>
      <x:c r="H7" s="19" t="str">
        <x:v>Fortis 0,1% + Comigo 0,3% PV.</x:v>
      </x:c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  <x:c r="AA7" s="17"/>
      <x:c r="AB7" s="17"/>
    </x:row>
    <x:row r="8">
      <x:c r="A8" s="19" t="str">
        <x:v>Econômica</x:v>
      </x:c>
      <x:c r="B8" s="19" t="str">
        <x:v>Base</x:v>
      </x:c>
      <x:c r="C8" s="24" t="n">
        <x:v>0.5</x:v>
      </x:c>
      <x:c r="D8" s="24" t="n">
        <x:v>0.001</x:v>
      </x:c>
      <x:c r="E8" s="24" t="n">
        <x:v>0.003</x:v>
      </x:c>
      <x:c r="F8" s="19" t="str">
        <x:v>Médio</x:v>
      </x:c>
      <x:c r="G8" s="19" t="str">
        <x:v>Médio</x:v>
      </x:c>
      <x:c r="H8" s="19" t="str">
        <x:v>Compatível com histórico observado.</x:v>
      </x:c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  <x:c r="AA8" s="17"/>
      <x:c r="AB8" s="17"/>
    </x:row>
    <x:row r="9">
      <x:c r="A9" s="19" t="str">
        <x:v>Econômica</x:v>
      </x:c>
      <x:c r="B9" s="19" t="str">
        <x:v>Bom</x:v>
      </x:c>
      <x:c r="C9" s="24" t="n">
        <x:v>0.6</x:v>
      </x:c>
      <x:c r="D9" s="24" t="n">
        <x:v>0.001</x:v>
      </x:c>
      <x:c r="E9" s="24" t="n">
        <x:v>0.003</x:v>
      </x:c>
      <x:c r="F9" s="19" t="str">
        <x:v>Médio</x:v>
      </x:c>
      <x:c r="G9" s="19" t="str">
        <x:v>Baixo</x:v>
      </x:c>
      <x:c r="H9" s="19" t="str">
        <x:v>Melhor resposta se pasto ainda sustentar.</x:v>
      </x:c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</x:row>
    <x:row r="10">
      <x:c r="A10" s="19" t="str">
        <x:v>Econômica</x:v>
      </x:c>
      <x:c r="B10" s="19" t="str">
        <x:v>Ótimo</x:v>
      </x:c>
      <x:c r="C10" s="24" t="n">
        <x:v>0.7</x:v>
      </x:c>
      <x:c r="D10" s="24" t="n">
        <x:v>0.001</x:v>
      </x:c>
      <x:c r="E10" s="24" t="n">
        <x:v>0.003</x:v>
      </x:c>
      <x:c r="F10" s="19" t="str">
        <x:v>Médio</x:v>
      </x:c>
      <x:c r="G10" s="19" t="str">
        <x:v>Baixo</x:v>
      </x:c>
      <x:c r="H10" s="19" t="str">
        <x:v>Mais otimista para a seca.</x:v>
      </x:c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</x:row>
    <x:row r="11">
      <x:c r="A11" s="19" t="str">
        <x:v>Intermediária</x:v>
      </x:c>
      <x:c r="B11" s="19" t="str">
        <x:v>Conservador</x:v>
      </x:c>
      <x:c r="C11" s="24" t="n">
        <x:v>0.55</x:v>
      </x:c>
      <x:c r="D11" s="24" t="n">
        <x:v>0.001</x:v>
      </x:c>
      <x:c r="E11" s="24" t="n">
        <x:v>0.005</x:v>
      </x:c>
      <x:c r="F11" s="19" t="str">
        <x:v>Médio/alto</x:v>
      </x:c>
      <x:c r="G11" s="19" t="str">
        <x:v>Médio</x:v>
      </x:c>
      <x:c r="H11" s="19" t="str">
        <x:v>Comigo 0,5% PV.</x:v>
      </x:c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</x:row>
    <x:row r="12">
      <x:c r="A12" s="19" t="str">
        <x:v>Intermediária</x:v>
      </x:c>
      <x:c r="B12" s="19" t="str">
        <x:v>Base</x:v>
      </x:c>
      <x:c r="C12" s="24" t="n">
        <x:v>0.7</x:v>
      </x:c>
      <x:c r="D12" s="24" t="n">
        <x:v>0.001</x:v>
      </x:c>
      <x:c r="E12" s="24" t="n">
        <x:v>0.005</x:v>
      </x:c>
      <x:c r="F12" s="19" t="str">
        <x:v>Médio/alto</x:v>
      </x:c>
      <x:c r="G12" s="19" t="str">
        <x:v>Médio</x:v>
      </x:c>
      <x:c r="H12" s="19" t="str">
        <x:v>Busca reduzir dias até venda.</x:v>
      </x:c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</x:row>
    <x:row r="13">
      <x:c r="A13" s="19" t="str">
        <x:v>Intermediária</x:v>
      </x:c>
      <x:c r="B13" s="19" t="str">
        <x:v>Bom</x:v>
      </x:c>
      <x:c r="C13" s="24" t="n">
        <x:v>0.85</x:v>
      </x:c>
      <x:c r="D13" s="24" t="n">
        <x:v>0.001</x:v>
      </x:c>
      <x:c r="E13" s="24" t="n">
        <x:v>0.005</x:v>
      </x:c>
      <x:c r="F13" s="19" t="str">
        <x:v>Médio/alto</x:v>
      </x:c>
      <x:c r="G13" s="19" t="str">
        <x:v>Baixo</x:v>
      </x:c>
      <x:c r="H13" s="19" t="str">
        <x:v>Requer resposta de pasto.</x:v>
      </x:c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</x:row>
    <x:row r="14">
      <x:c r="A14" s="19" t="str">
        <x:v>Intermediária</x:v>
      </x:c>
      <x:c r="B14" s="19" t="str">
        <x:v>Ótimo</x:v>
      </x:c>
      <x:c r="C14" s="24" t="n">
        <x:v>0.95</x:v>
      </x:c>
      <x:c r="D14" s="24" t="n">
        <x:v>0.001</x:v>
      </x:c>
      <x:c r="E14" s="24" t="n">
        <x:v>0.005</x:v>
      </x:c>
      <x:c r="F14" s="19" t="str">
        <x:v>Médio/alto</x:v>
      </x:c>
      <x:c r="G14" s="19" t="str">
        <x:v>Baixo</x:v>
      </x:c>
      <x:c r="H14" s="19" t="str">
        <x:v>Cenário agressivo de resposta.</x:v>
      </x:c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</x:row>
    <x:row r="15">
      <x:c r="A15" s="19" t="str">
        <x:v>Agressiva</x:v>
      </x:c>
      <x:c r="B15" s="19" t="str">
        <x:v>Conservador</x:v>
      </x:c>
      <x:c r="C15" s="24" t="n">
        <x:v>0.7</x:v>
      </x:c>
      <x:c r="D15" s="24" t="n">
        <x:v>0.001</x:v>
      </x:c>
      <x:c r="E15" s="24" t="n">
        <x:v>0.007</x:v>
      </x:c>
      <x:c r="F15" s="19" t="str">
        <x:v>Alto</x:v>
      </x:c>
      <x:c r="G15" s="19" t="str">
        <x:v>Médio</x:v>
      </x:c>
      <x:c r="H15" s="19" t="str">
        <x:v>Comigo 0,7% PV.</x:v>
      </x:c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</x:row>
    <x:row r="16">
      <x:c r="A16" s="19" t="str">
        <x:v>Agressiva</x:v>
      </x:c>
      <x:c r="B16" s="19" t="str">
        <x:v>Base</x:v>
      </x:c>
      <x:c r="C16" s="24" t="n">
        <x:v>0.85</x:v>
      </x:c>
      <x:c r="D16" s="24" t="n">
        <x:v>0.001</x:v>
      </x:c>
      <x:c r="E16" s="24" t="n">
        <x:v>0.007</x:v>
      </x:c>
      <x:c r="F16" s="19" t="str">
        <x:v>Alto</x:v>
      </x:c>
      <x:c r="G16" s="19" t="str">
        <x:v>Médio</x:v>
      </x:c>
      <x:c r="H16" s="19" t="str">
        <x:v>Giro maior com custo diário maior.</x:v>
      </x:c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</x:row>
    <x:row r="17">
      <x:c r="A17" s="19" t="str">
        <x:v>Agressiva</x:v>
      </x:c>
      <x:c r="B17" s="19" t="str">
        <x:v>Bom</x:v>
      </x:c>
      <x:c r="C17" s="24" t="n">
        <x:v>1</x:v>
      </x:c>
      <x:c r="D17" s="24" t="n">
        <x:v>0.001</x:v>
      </x:c>
      <x:c r="E17" s="24" t="n">
        <x:v>0.007</x:v>
      </x:c>
      <x:c r="F17" s="19" t="str">
        <x:v>Alto</x:v>
      </x:c>
      <x:c r="G17" s="19" t="str">
        <x:v>Baixo</x:v>
      </x:c>
      <x:c r="H17" s="19" t="str">
        <x:v>Depende de manejo e adaptação.</x:v>
      </x:c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</x:row>
    <x:row r="18">
      <x:c r="A18" s="19" t="str">
        <x:v>Agressiva</x:v>
      </x:c>
      <x:c r="B18" s="19" t="str">
        <x:v>Ótimo</x:v>
      </x:c>
      <x:c r="C18" s="24" t="n">
        <x:v>1.1</x:v>
      </x:c>
      <x:c r="D18" s="24" t="n">
        <x:v>0.001</x:v>
      </x:c>
      <x:c r="E18" s="24" t="n">
        <x:v>0.007</x:v>
      </x:c>
      <x:c r="F18" s="19" t="str">
        <x:v>Alto</x:v>
      </x:c>
      <x:c r="G18" s="19" t="str">
        <x:v>Baixo</x:v>
      </x:c>
      <x:c r="H18" s="19" t="str">
        <x:v>Use com cautela em bezerras pequenas.</x:v>
      </x:c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</x:row>
    <x:row r="19">
      <x:c r="A19" s="19"/>
      <x:c r="B19" s="19"/>
      <x:c r="C19" s="24"/>
      <x:c r="D19" s="24"/>
      <x:c r="E19" s="24"/>
      <x:c r="F19" s="19"/>
      <x:c r="G19" s="19"/>
      <x:c r="H19" s="19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  <x:c r="AA25" s="17"/>
      <x:c r="AB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  <x:c r="AA26" s="17"/>
      <x:c r="AB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  <x:c r="AA27" s="17"/>
      <x:c r="AB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  <x:c r="AA28" s="17"/>
      <x:c r="AB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  <x:c r="AA29" s="17"/>
      <x:c r="AB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  <x:c r="AA30" s="17"/>
      <x:c r="AB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  <x:c r="AA32" s="17"/>
      <x:c r="AB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  <x:c r="AA33" s="17"/>
      <x:c r="AB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  <x:c r="AA34" s="17"/>
      <x:c r="AB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  <x:c r="AA35" s="17"/>
      <x:c r="AB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  <x:c r="AA36" s="17"/>
      <x:c r="AB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  <x:c r="AA37" s="17"/>
      <x:c r="AB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  <x:c r="AA40" s="17"/>
      <x:c r="AB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  <x:c r="AA41" s="17"/>
      <x:c r="AB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  <x:c r="AA42" s="17"/>
      <x:c r="AB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  <x:c r="AA44" s="17"/>
      <x:c r="AB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  <x:c r="AA45" s="17"/>
      <x:c r="AB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  <x:c r="AA46" s="17"/>
      <x:c r="AB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  <x:c r="AA47" s="17"/>
      <x:c r="AB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  <x:c r="AA48" s="17"/>
      <x:c r="AB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  <x:c r="AA49" s="17"/>
      <x:c r="AB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  <x:c r="AA51" s="17"/>
      <x:c r="AB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  <x:c r="AA52" s="17"/>
      <x:c r="AB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  <x:c r="AA53" s="17"/>
      <x:c r="AB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  <x:c r="AA54" s="17"/>
      <x:c r="AB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  <x:c r="AA55" s="17"/>
      <x:c r="AB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  <x:c r="AA56" s="17"/>
      <x:c r="AB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  <x:c r="AA57" s="17"/>
      <x:c r="AB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  <x:c r="AA58" s="17"/>
      <x:c r="AB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  <x:c r="AA59" s="17"/>
      <x:c r="AB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  <x:c r="AA60" s="17"/>
      <x:c r="AB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  <x:c r="AA61" s="17"/>
      <x:c r="AB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  <x:c r="AA62" s="17"/>
      <x:c r="AB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  <x:c r="AA63" s="17"/>
      <x:c r="AB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  <x:c r="AA64" s="17"/>
      <x:c r="AB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  <x:c r="AA65" s="17"/>
      <x:c r="AB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  <x:c r="AA66" s="17"/>
      <x:c r="AB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  <x:c r="AA68" s="17"/>
      <x:c r="AB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  <x:c r="AA69" s="17"/>
      <x:c r="AB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  <x:c r="AA70" s="17"/>
      <x:c r="AB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  <x:c r="AA71" s="17"/>
      <x:c r="AB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  <x:c r="AA72" s="17"/>
      <x:c r="AB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  <x:c r="AA74" s="17"/>
      <x:c r="AB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  <x:c r="AA75" s="17"/>
      <x:c r="AB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  <x:c r="AA77" s="17"/>
      <x:c r="AB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  <x:c r="AA78" s="17"/>
      <x:c r="AB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  <x:c r="AA79" s="17"/>
      <x:c r="AB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  <x:c r="AA80" s="17"/>
      <x:c r="AB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  <x:c r="AA81" s="17"/>
      <x:c r="AB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  <x:c r="AA82" s="17"/>
      <x:c r="AB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  <x:c r="AA83" s="17"/>
      <x:c r="AB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  <x:c r="AA84" s="17"/>
      <x:c r="AB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  <x:c r="AA85" s="17"/>
      <x:c r="AB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  <x:c r="AA86" s="17"/>
      <x:c r="AB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  <x:c r="AA87" s="17"/>
      <x:c r="AB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  <x:c r="AA88" s="17"/>
      <x:c r="AB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  <x:c r="AA89" s="17"/>
      <x:c r="AB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  <x:c r="AA90" s="17"/>
      <x:c r="AB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  <x:c r="AA91" s="17"/>
      <x:c r="AB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  <x:c r="AA92" s="17"/>
      <x:c r="AB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  <x:c r="AA94" s="17"/>
      <x:c r="AB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  <x:c r="AA95" s="17"/>
      <x:c r="AB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  <x:c r="AA97" s="17"/>
      <x:c r="AB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  <x:c r="AA98" s="17"/>
      <x:c r="AB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  <x:c r="AA102" s="17"/>
      <x:c r="AB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  <x:c r="AA103" s="17"/>
      <x:c r="AB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  <x:c r="AA104" s="17"/>
      <x:c r="AB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  <x:c r="AA105" s="17"/>
      <x:c r="AB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  <x:c r="AA107" s="17"/>
      <x:c r="AB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  <x:c r="AA110" s="17"/>
      <x:c r="AB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  <x:c r="AA114" s="17"/>
      <x:c r="AB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  <x:c r="AA117" s="17"/>
      <x:c r="AB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  <x:c r="AA119" s="17"/>
      <x:c r="AB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  <x:c r="AA120" s="17"/>
      <x:c r="AB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  <x:c r="AA121" s="17"/>
      <x:c r="AB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  <x:c r="AA122" s="17"/>
      <x:c r="AB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  <x:c r="AA123" s="17"/>
      <x:c r="AB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  <x:c r="AA125" s="17"/>
      <x:c r="AB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  <x:c r="AA126" s="17"/>
      <x:c r="AB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  <x:c r="AA127" s="17"/>
      <x:c r="AB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  <x:c r="AA128" s="17"/>
      <x:c r="AB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  <x:c r="AA129" s="17"/>
      <x:c r="AB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  <x:c r="AA130" s="17"/>
      <x:c r="AB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  <x:c r="AA131" s="17"/>
      <x:c r="AB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  <x:c r="AA132" s="17"/>
      <x:c r="AB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  <x:c r="AA133" s="17"/>
      <x:c r="AB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  <x:c r="AA136" s="17"/>
      <x:c r="AB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  <x:c r="AA137" s="17"/>
      <x:c r="AB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  <x:c r="AA140" s="17"/>
      <x:c r="AB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  <x:c r="AA143" s="17"/>
      <x:c r="AB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  <x:c r="AA144" s="17"/>
      <x:c r="AB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  <x:c r="AA145" s="17"/>
      <x:c r="AB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  <x:c r="AA146" s="17"/>
      <x:c r="AB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  <x:c r="AA147" s="17"/>
      <x:c r="AB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  <x:c r="AA149" s="17"/>
      <x:c r="AB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  <x:c r="AA151" s="17"/>
      <x:c r="AB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  <x:c r="AA152" s="17"/>
      <x:c r="AB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  <x:c r="AA153" s="17"/>
      <x:c r="AB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  <x:c r="AA155" s="17"/>
      <x:c r="AB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  <x:c r="AA156" s="17"/>
      <x:c r="AB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  <x:c r="AA158" s="17"/>
      <x:c r="AB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  <x:c r="AA159" s="17"/>
      <x:c r="AB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  <x:c r="AA160" s="17"/>
      <x:c r="AB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  <x:c r="AA163" s="17"/>
      <x:c r="AB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  <x:c r="AA164" s="17"/>
      <x:c r="AB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  <x:c r="AA165" s="17"/>
      <x:c r="AB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  <x:c r="AA166" s="17"/>
      <x:c r="AB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  <x:c r="AA168" s="17"/>
      <x:c r="AB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  <x:c r="AA169" s="17"/>
      <x:c r="AB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  <x:c r="AA171" s="17"/>
      <x:c r="AB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  <x:c r="AA172" s="17"/>
      <x:c r="AB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  <x:c r="AA173" s="17"/>
      <x:c r="AB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  <x:c r="AA174" s="17"/>
      <x:c r="AB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  <x:c r="AA175" s="17"/>
      <x:c r="AB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  <x:c r="AA176" s="17"/>
      <x:c r="AB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  <x:c r="AA178" s="17"/>
      <x:c r="AB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  <x:c r="AA180" s="17"/>
      <x:c r="AB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  <x:c r="AA181" s="17"/>
      <x:c r="AB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  <x:c r="AA182" s="17"/>
      <x:c r="AB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  <x:c r="AA184" s="17"/>
      <x:c r="AB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  <x:c r="AA185" s="17"/>
      <x:c r="AB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  <x:c r="AA187" s="17"/>
      <x:c r="AB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  <x:c r="AA190" s="17"/>
      <x:c r="AB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  <x:c r="AA191" s="17"/>
      <x:c r="AB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  <x:c r="AA192" s="17"/>
      <x:c r="AB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  <x:c r="AA193" s="17"/>
      <x:c r="AB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  <x:c r="AA196" s="17"/>
      <x:c r="AB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  <x:c r="AA197" s="17"/>
      <x:c r="AB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  <x:c r="AA200" s="17"/>
      <x:c r="AB200" s="17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.25" hidden="0" customWidth="1"/>
    <x:col min="2" max="2" width="20.25" hidden="0" customWidth="1"/>
    <x:col min="3" max="3" width="20.25" hidden="0" customWidth="1"/>
    <x:col min="4" max="4" width="33.7400016784668" hidden="0" customWidth="1"/>
    <x:col min="5" max="5" width="20.25" hidden="0" customWidth="1"/>
  </x:cols>
  <x:sheetData>
    <x:row r="1" ht="25.5" customHeight="1">
      <x:c r="A1" s="16" t="str">
        <x:v>Metas de venda e preço da arroba</x:v>
      </x:c>
      <x:c r="B1" s="16"/>
      <x:c r="C1" s="16"/>
      <x:c r="D1" s="16"/>
      <x:c r="E1" s="16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  <x:c r="AA1" s="17"/>
      <x:c r="AB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</x:row>
    <x:row r="3">
      <x:c r="A3" s="18" t="str">
        <x:v>Meta @</x:v>
      </x:c>
      <x:c r="B3" s="18" t="str">
        <x:v>Tipo</x:v>
      </x:c>
      <x:c r="C3" s="18" t="str">
        <x:v>Preço @ base</x:v>
      </x:c>
      <x:c r="D3" s="18" t="str">
        <x:v>Comentário</x:v>
      </x:c>
      <x:c r="E3" s="18" t="str">
        <x:v>Ativa?</x:v>
      </x:c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  <x:c r="AA3" s="17"/>
      <x:c r="AB3" s="17"/>
    </x:row>
    <x:row r="4">
      <x:c r="A4" s="19" t="n">
        <x:v>8.5</x:v>
      </x:c>
      <x:c r="B4" s="19" t="str">
        <x:v>Venda imediata/base</x:v>
      </x:c>
      <x:c r="C4" s="21" t="n">
        <x:v>330</x:v>
      </x:c>
      <x:c r="D4" s="19" t="str">
        <x:v>Usado para comparar vender agora com 8,5@.</x:v>
      </x:c>
      <x:c r="E4" s="19" t="str">
        <x:v>Sim</x:v>
      </x:c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  <x:c r="AA4" s="17"/>
      <x:c r="AB4" s="17"/>
    </x:row>
    <x:row r="5">
      <x:c r="A5" s="19" t="n">
        <x:v>9</x:v>
      </x:c>
      <x:c r="B5" s="19" t="str">
        <x:v>Venda imediata/otimista</x:v>
      </x:c>
      <x:c r="C5" s="21" t="n">
        <x:v>330</x:v>
      </x:c>
      <x:c r="D5" s="19" t="str">
        <x:v>Usado para comparar vender agora com 9@.</x:v>
      </x:c>
      <x:c r="E5" s="19" t="str">
        <x:v>Sim</x:v>
      </x:c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  <x:c r="AA5" s="17"/>
      <x:c r="AB5" s="17"/>
    </x:row>
    <x:row r="6">
      <x:c r="A6" s="19" t="n">
        <x:v>10.5</x:v>
      </x:c>
      <x:c r="B6" s="19" t="str">
        <x:v>Giro rápido</x:v>
      </x:c>
      <x:c r="C6" s="21" t="n">
        <x:v>330</x:v>
      </x:c>
      <x:c r="D6" s="19" t="str">
        <x:v>Meta sugerida para lote maior.</x:v>
      </x:c>
      <x:c r="E6" s="19" t="str">
        <x:v>Sim</x:v>
      </x:c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  <x:c r="AA6" s="17"/>
      <x:c r="AB6" s="17"/>
    </x:row>
    <x:row r="7">
      <x:c r="A7" s="19" t="n">
        <x:v>11</x:v>
      </x:c>
      <x:c r="B7" s="19" t="str">
        <x:v>Giro rápido+</x:v>
      </x:c>
      <x:c r="C7" s="21" t="n">
        <x:v>330</x:v>
      </x:c>
      <x:c r="D7" s="19" t="str">
        <x:v>Meta provável de equilíbrio giro/lucro.</x:v>
      </x:c>
      <x:c r="E7" s="19" t="str">
        <x:v>Sim</x:v>
      </x:c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  <x:c r="AA7" s="17"/>
      <x:c r="AB7" s="17"/>
    </x:row>
    <x:row r="8">
      <x:c r="A8" s="19" t="n">
        <x:v>12</x:v>
      </x:c>
      <x:c r="B8" s="19" t="str">
        <x:v>Alongado</x:v>
      </x:c>
      <x:c r="C8" s="21" t="n">
        <x:v>330</x:v>
      </x:c>
      <x:c r="D8" s="19" t="str">
        <x:v>Não perseguir automaticamente.</x:v>
      </x:c>
      <x:c r="E8" s="19" t="str">
        <x:v>Sim</x:v>
      </x:c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  <x:c r="AA8" s="17"/>
      <x:c r="AB8" s="17"/>
    </x:row>
    <x:row r="9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  <x:c r="AA25" s="17"/>
      <x:c r="AB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  <x:c r="AA26" s="17"/>
      <x:c r="AB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  <x:c r="AA27" s="17"/>
      <x:c r="AB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  <x:c r="AA28" s="17"/>
      <x:c r="AB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  <x:c r="AA29" s="17"/>
      <x:c r="AB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  <x:c r="AA30" s="17"/>
      <x:c r="AB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  <x:c r="AA32" s="17"/>
      <x:c r="AB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  <x:c r="AA33" s="17"/>
      <x:c r="AB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  <x:c r="AA34" s="17"/>
      <x:c r="AB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  <x:c r="AA35" s="17"/>
      <x:c r="AB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  <x:c r="AA36" s="17"/>
      <x:c r="AB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  <x:c r="AA37" s="17"/>
      <x:c r="AB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  <x:c r="AA40" s="17"/>
      <x:c r="AB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  <x:c r="AA41" s="17"/>
      <x:c r="AB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  <x:c r="AA42" s="17"/>
      <x:c r="AB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  <x:c r="AA44" s="17"/>
      <x:c r="AB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  <x:c r="AA45" s="17"/>
      <x:c r="AB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  <x:c r="AA46" s="17"/>
      <x:c r="AB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  <x:c r="AA47" s="17"/>
      <x:c r="AB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  <x:c r="AA48" s="17"/>
      <x:c r="AB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  <x:c r="AA49" s="17"/>
      <x:c r="AB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  <x:c r="AA51" s="17"/>
      <x:c r="AB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  <x:c r="AA52" s="17"/>
      <x:c r="AB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  <x:c r="AA53" s="17"/>
      <x:c r="AB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  <x:c r="AA54" s="17"/>
      <x:c r="AB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  <x:c r="AA55" s="17"/>
      <x:c r="AB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  <x:c r="AA56" s="17"/>
      <x:c r="AB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  <x:c r="AA57" s="17"/>
      <x:c r="AB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  <x:c r="AA58" s="17"/>
      <x:c r="AB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  <x:c r="AA59" s="17"/>
      <x:c r="AB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  <x:c r="AA60" s="17"/>
      <x:c r="AB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  <x:c r="AA61" s="17"/>
      <x:c r="AB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  <x:c r="AA62" s="17"/>
      <x:c r="AB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  <x:c r="AA63" s="17"/>
      <x:c r="AB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  <x:c r="AA64" s="17"/>
      <x:c r="AB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  <x:c r="AA65" s="17"/>
      <x:c r="AB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  <x:c r="AA66" s="17"/>
      <x:c r="AB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  <x:c r="AA68" s="17"/>
      <x:c r="AB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  <x:c r="AA69" s="17"/>
      <x:c r="AB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  <x:c r="AA70" s="17"/>
      <x:c r="AB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  <x:c r="AA71" s="17"/>
      <x:c r="AB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  <x:c r="AA72" s="17"/>
      <x:c r="AB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  <x:c r="AA74" s="17"/>
      <x:c r="AB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  <x:c r="AA75" s="17"/>
      <x:c r="AB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  <x:c r="AA77" s="17"/>
      <x:c r="AB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  <x:c r="AA78" s="17"/>
      <x:c r="AB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  <x:c r="AA79" s="17"/>
      <x:c r="AB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  <x:c r="AA80" s="17"/>
      <x:c r="AB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  <x:c r="AA81" s="17"/>
      <x:c r="AB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  <x:c r="AA82" s="17"/>
      <x:c r="AB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  <x:c r="AA83" s="17"/>
      <x:c r="AB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  <x:c r="AA84" s="17"/>
      <x:c r="AB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  <x:c r="AA85" s="17"/>
      <x:c r="AB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  <x:c r="AA86" s="17"/>
      <x:c r="AB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  <x:c r="AA87" s="17"/>
      <x:c r="AB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  <x:c r="AA88" s="17"/>
      <x:c r="AB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  <x:c r="AA89" s="17"/>
      <x:c r="AB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  <x:c r="AA90" s="17"/>
      <x:c r="AB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  <x:c r="AA91" s="17"/>
      <x:c r="AB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  <x:c r="AA92" s="17"/>
      <x:c r="AB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  <x:c r="AA94" s="17"/>
      <x:c r="AB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  <x:c r="AA95" s="17"/>
      <x:c r="AB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  <x:c r="AA97" s="17"/>
      <x:c r="AB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  <x:c r="AA98" s="17"/>
      <x:c r="AB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  <x:c r="AA102" s="17"/>
      <x:c r="AB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  <x:c r="AA103" s="17"/>
      <x:c r="AB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  <x:c r="AA104" s="17"/>
      <x:c r="AB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  <x:c r="AA105" s="17"/>
      <x:c r="AB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  <x:c r="AA107" s="17"/>
      <x:c r="AB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  <x:c r="AA110" s="17"/>
      <x:c r="AB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  <x:c r="AA114" s="17"/>
      <x:c r="AB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  <x:c r="AA117" s="17"/>
      <x:c r="AB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  <x:c r="AA119" s="17"/>
      <x:c r="AB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  <x:c r="AA120" s="17"/>
      <x:c r="AB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  <x:c r="AA121" s="17"/>
      <x:c r="AB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  <x:c r="AA122" s="17"/>
      <x:c r="AB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  <x:c r="AA123" s="17"/>
      <x:c r="AB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  <x:c r="AA125" s="17"/>
      <x:c r="AB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  <x:c r="AA126" s="17"/>
      <x:c r="AB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  <x:c r="AA127" s="17"/>
      <x:c r="AB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  <x:c r="AA128" s="17"/>
      <x:c r="AB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  <x:c r="AA129" s="17"/>
      <x:c r="AB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  <x:c r="AA130" s="17"/>
      <x:c r="AB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  <x:c r="AA131" s="17"/>
      <x:c r="AB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  <x:c r="AA132" s="17"/>
      <x:c r="AB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  <x:c r="AA133" s="17"/>
      <x:c r="AB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  <x:c r="AA136" s="17"/>
      <x:c r="AB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  <x:c r="AA137" s="17"/>
      <x:c r="AB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  <x:c r="AA140" s="17"/>
      <x:c r="AB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  <x:c r="AA143" s="17"/>
      <x:c r="AB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  <x:c r="AA144" s="17"/>
      <x:c r="AB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  <x:c r="AA145" s="17"/>
      <x:c r="AB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  <x:c r="AA146" s="17"/>
      <x:c r="AB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  <x:c r="AA147" s="17"/>
      <x:c r="AB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  <x:c r="AA149" s="17"/>
      <x:c r="AB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  <x:c r="AA151" s="17"/>
      <x:c r="AB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  <x:c r="AA152" s="17"/>
      <x:c r="AB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  <x:c r="AA153" s="17"/>
      <x:c r="AB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  <x:c r="AA155" s="17"/>
      <x:c r="AB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  <x:c r="AA156" s="17"/>
      <x:c r="AB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  <x:c r="AA158" s="17"/>
      <x:c r="AB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  <x:c r="AA159" s="17"/>
      <x:c r="AB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  <x:c r="AA160" s="17"/>
      <x:c r="AB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  <x:c r="AA163" s="17"/>
      <x:c r="AB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  <x:c r="AA164" s="17"/>
      <x:c r="AB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  <x:c r="AA165" s="17"/>
      <x:c r="AB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  <x:c r="AA166" s="17"/>
      <x:c r="AB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  <x:c r="AA168" s="17"/>
      <x:c r="AB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  <x:c r="AA169" s="17"/>
      <x:c r="AB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  <x:c r="AA171" s="17"/>
      <x:c r="AB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  <x:c r="AA172" s="17"/>
      <x:c r="AB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  <x:c r="AA173" s="17"/>
      <x:c r="AB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  <x:c r="AA174" s="17"/>
      <x:c r="AB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  <x:c r="AA175" s="17"/>
      <x:c r="AB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  <x:c r="AA176" s="17"/>
      <x:c r="AB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  <x:c r="AA178" s="17"/>
      <x:c r="AB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  <x:c r="AA180" s="17"/>
      <x:c r="AB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  <x:c r="AA181" s="17"/>
      <x:c r="AB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  <x:c r="AA182" s="17"/>
      <x:c r="AB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  <x:c r="AA184" s="17"/>
      <x:c r="AB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  <x:c r="AA185" s="17"/>
      <x:c r="AB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  <x:c r="AA187" s="17"/>
      <x:c r="AB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  <x:c r="AA190" s="17"/>
      <x:c r="AB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  <x:c r="AA191" s="17"/>
      <x:c r="AB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  <x:c r="AA192" s="17"/>
      <x:c r="AB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  <x:c r="AA193" s="17"/>
      <x:c r="AB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  <x:c r="AA196" s="17"/>
      <x:c r="AB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  <x:c r="AA197" s="17"/>
      <x:c r="AB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  <x:c r="AA200" s="17"/>
      <x:c r="AB200" s="17"/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.18000030517578" hidden="0" customWidth="1"/>
    <x:col min="2" max="2" width="17.18000030517578" hidden="0" customWidth="1"/>
    <x:col min="3" max="3" width="17.1800003051757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13.130000114440918" hidden="0" customWidth="1"/>
    <x:col min="8" max="8" width="13.130000114440918" hidden="0" customWidth="1"/>
    <x:col min="9" max="9" width="13.130000114440918" hidden="0" customWidth="1"/>
    <x:col min="10" max="10" width="13.130000114440918" hidden="0" customWidth="1"/>
    <x:col min="11" max="11" width="13.130000114440918" hidden="0" customWidth="1"/>
    <x:col min="12" max="12" width="13.130000114440918" hidden="0" customWidth="1"/>
    <x:col min="13" max="13" width="13.130000114440918" hidden="0" customWidth="1"/>
    <x:col min="14" max="14" width="13.130000114440918" hidden="0" customWidth="1"/>
    <x:col min="15" max="15" width="13.130000114440918" hidden="0" customWidth="1"/>
    <x:col min="16" max="16" width="13.130000114440918" hidden="0" customWidth="1"/>
    <x:col min="17" max="17" width="13.130000114440918" hidden="0" customWidth="1"/>
    <x:col min="18" max="18" width="13.130000114440918" hidden="0" customWidth="1"/>
    <x:col min="19" max="19" width="13.130000114440918" hidden="0" customWidth="1"/>
    <x:col min="20" max="20" width="13.130000114440918" hidden="0" customWidth="1"/>
    <x:col min="21" max="21" width="13.130000114440918" hidden="0" customWidth="1"/>
    <x:col min="22" max="22" width="13.130000114440918" hidden="0" customWidth="1"/>
    <x:col min="23" max="23" width="13.130000114440918" hidden="0" customWidth="1"/>
    <x:col min="24" max="24" width="13.130000114440918" hidden="0" customWidth="1"/>
    <x:col min="25" max="25" width="13.130000114440918" hidden="0" customWidth="1"/>
    <x:col min="26" max="26" width="13.130000114440918" hidden="0" customWidth="1"/>
    <x:col min="27" max="27" width="13.130000114440918" hidden="0" customWidth="1"/>
    <x:col min="28" max="28" width="13.130000114440918" hidden="0" customWidth="1"/>
  </x:cols>
  <x:sheetData>
    <x:row r="1" ht="25.5" customHeight="1">
      <x:c r="A1" s="16" t="str">
        <x:v>Motor econômico por lote, estratégia, GMD e meta de venda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  <x:c r="AA1" s="16"/>
      <x:c r="AB1" s="16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</x:row>
    <x:row r="3">
      <x:c r="A3" s="18" t="str">
        <x:v>Lote</x:v>
      </x:c>
      <x:c r="B3" s="18" t="str">
        <x:v>Estratégia</x:v>
      </x:c>
      <x:c r="C3" s="18" t="str">
        <x:v>Cenário GMD</x:v>
      </x:c>
      <x:c r="D3" s="18" t="str">
        <x:v>Meta @</x:v>
      </x:c>
      <x:c r="E3" s="18" t="str">
        <x:v>Preço @</x:v>
      </x:c>
      <x:c r="F3" s="18" t="str">
        <x:v>Qtd.</x:v>
      </x:c>
      <x:c r="G3" s="18" t="str">
        <x:v>@ atual</x:v>
      </x:c>
      <x:c r="H3" s="18" t="str">
        <x:v>PV atual kg</x:v>
      </x:c>
      <x:c r="I3" s="18" t="str">
        <x:v>PV alvo kg</x:v>
      </x:c>
      <x:c r="J3" s="18" t="str">
        <x:v>Kg vivos faltantes</x:v>
      </x:c>
      <x:c r="K3" s="18" t="str">
        <x:v>GMD kg/d</x:v>
      </x:c>
      <x:c r="L3" s="18" t="str">
        <x:v>Dias</x:v>
      </x:c>
      <x:c r="M3" s="18" t="str">
        <x:v>Fortis kg/d</x:v>
      </x:c>
      <x:c r="N3" s="18" t="str">
        <x:v>Comigo kg/d</x:v>
      </x:c>
      <x:c r="O3" s="18" t="str">
        <x:v>Custo alim/dia</x:v>
      </x:c>
      <x:c r="P3" s="18" t="str">
        <x:v>Custo alim/mês</x:v>
      </x:c>
      <x:c r="Q3" s="18" t="str">
        <x:v>Custo alim acumulado</x:v>
      </x:c>
      <x:c r="R3" s="18" t="str">
        <x:v>Custo operacional acum.</x:v>
      </x:c>
      <x:c r="S3" s="18" t="str">
        <x:v>Receita/cab</x:v>
      </x:c>
      <x:c r="T3" s="18" t="str">
        <x:v>Receita total</x:v>
      </x:c>
      <x:c r="U3" s="18" t="str">
        <x:v>Lucro/cab</x:v>
      </x:c>
      <x:c r="V3" s="18" t="str">
        <x:v>Lucro total</x:v>
      </x:c>
      <x:c r="W3" s="18" t="str">
        <x:v>Margem %</x:v>
      </x:c>
      <x:c r="X3" s="18" t="str">
        <x:v>Custo alim/@ prod.</x:v>
      </x:c>
      <x:c r="Y3" s="18" t="str">
        <x:v>ROI</x:v>
      </x:c>
      <x:c r="Z3" s="18" t="str">
        <x:v>ROI mensal</x:v>
      </x:c>
      <x:c r="AA3" s="18" t="str">
        <x:v>Risco seca</x:v>
      </x:c>
      <x:c r="AB3" s="18" t="str">
        <x:v>Sinal</x:v>
      </x:c>
    </x:row>
    <x:row r="4">
      <x:c r="A4" s="19" t="str">
        <x:v>Lote maior - base 8,5@</x:v>
      </x:c>
      <x:c r="B4" s="19" t="str">
        <x:v>Somente Fortis</x:v>
      </x:c>
      <x:c r="C4" s="19" t="str">
        <x:v>Pasto fraco</x:v>
      </x:c>
      <x:c r="D4" s="19" t="n">
        <x:v>8.5</x:v>
      </x:c>
      <x:c r="E4" s="21" t="n">
        <x:f>Premissas!$B$6</x:f>
        <x:v>330</x:v>
      </x:c>
      <x:c r="F4" s="19" t="n">
        <x:f>XLOOKUP(A4,Lotes!$A$4:$A$8,Lotes!$B$4:$B$8,0)</x:f>
        <x:v>17</x:v>
      </x:c>
      <x:c r="G4" s="23" t="n">
        <x:f>XLOOKUP(A4,Lotes!$A$4:$A$8,Lotes!$C$4:$C$8,0)</x:f>
        <x:v>8.5</x:v>
      </x:c>
      <x:c r="H4" s="23" t="n">
        <x:f>G4*Premissas!$B$5/Premissas!$B$4</x:f>
        <x:v>231.8181818181818</x:v>
      </x:c>
      <x:c r="I4" s="23" t="n">
        <x:f>D4*Premissas!$B$5/Premissas!$B$4</x:f>
        <x:v>231.8181818181818</x:v>
      </x:c>
      <x:c r="J4" s="23" t="n">
        <x:f>MAX(0,I4-H4)</x:f>
        <x:v>0</x:v>
      </x:c>
      <x:c r="K4" s="23" t="n">
        <x:f>SUMIFS('Cenários de GMD'!$C$4:$C$19,'Cenários de GMD'!$A$4:$A$19,B4,'Cenários de GMD'!$B$4:$B$19,C4)</x:f>
        <x:v>0.1</x:v>
      </x:c>
      <x:c r="L4" s="23" t="n">
        <x:f>IF(J4=0,0,J4/K4)</x:f>
        <x:v>0</x:v>
      </x:c>
      <x:c r="M4" s="23" t="n">
        <x:f>((H4+I4)/2)*SUMIFS('Cenários de GMD'!$D$4:$D$19,'Cenários de GMD'!$A$4:$A$19,B4,'Cenários de GMD'!$B$4:$B$19,C4)</x:f>
        <x:v>0.2318181818181818</x:v>
      </x:c>
      <x:c r="N4" s="23" t="n">
        <x:f>((H4+I4)/2)*SUMIFS('Cenários de GMD'!$E$4:$E$19,'Cenários de GMD'!$A$4:$A$19,B4,'Cenários de GMD'!$B$4:$B$19,C4)</x:f>
        <x:v>0</x:v>
      </x:c>
      <x:c r="O4" s="21" t="n">
        <x:f>M4*Insumos!$E$4+N4*Insumos!$E$5</x:f>
        <x:v>0.7038</x:v>
      </x:c>
      <x:c r="P4" s="21" t="n">
        <x:f>O4*Premissas!$B$7</x:f>
        <x:v>21.114</x:v>
      </x:c>
      <x:c r="Q4" s="21" t="n">
        <x:f>O4*L4</x:f>
        <x:v>0</x:v>
      </x:c>
      <x:c r="R4" s="21" t="n">
        <x:f>Premissas!$B$7*Premissas!$B$8*L4</x:f>
        <x:v>0</x:v>
      </x:c>
      <x:c r="S4" s="21" t="n">
        <x:f>D4*E4</x:f>
        <x:v>2805</x:v>
      </x:c>
      <x:c r="T4" s="21" t="n">
        <x:f>S4*F4</x:f>
        <x:v>47685</x:v>
      </x:c>
      <x:c r="U4" s="21" t="n">
        <x:f>S4-XLOOKUP(A4,Lotes!$A$4:$A$8,Lotes!$D$4:$D$8,Premissas!$B$9)-Q4-R4</x:f>
        <x:v>855</x:v>
      </x:c>
      <x:c r="V4" s="21" t="n">
        <x:f>U4*F4</x:f>
        <x:v>14535</x:v>
      </x:c>
      <x:c r="W4" s="20" t="n">
        <x:f>IF(S4=0,0,U4/S4)</x:f>
        <x:v>0.3048128342245989</x:v>
      </x:c>
      <x:c r="X4" s="21" t="n">
        <x:f>IF(D4-G4&lt;=0,0,Q4/(D4-G4))</x:f>
        <x:v>0</x:v>
      </x:c>
      <x:c r="Y4" s="20" t="n">
        <x:f>IFERROR(U4/(XLOOKUP(A4,Lotes!$A$4:$A$8,Lotes!$D$4:$D$8,Premissas!$B$9)+Q4+R4),0)</x:f>
        <x:v>0.43846153846153846</x:v>
      </x:c>
      <x:c r="Z4" s="20" t="n">
        <x:f>IF(L4=0,Y4,Y4/MAX(1,L4/Premissas!$B$7))</x:f>
        <x:v>0.43846153846153846</x:v>
      </x:c>
      <x:c r="AA4" s="19" t="str">
        <x:f>IF(L4=0,"Venda imediata",IF(L4&lt;=60,"Baixo",IF(L4&lt;=120,"Médio","Alto")))</x:f>
        <x:v>Venda imediata</x:v>
      </x:c>
      <x:c r="AB4" s="19" t="str">
        <x:f>IF(U4&lt;0,"Não fazer",IF(AA4="Alto","Risco seca",IF(Z4&gt;=0.03,"Bom giro","Margem ok")))</x:f>
        <x:v>Bom giro</x:v>
      </x:c>
    </x:row>
    <x:row r="5">
      <x:c r="A5" s="19" t="str">
        <x:v>Lote maior - base 8,5@</x:v>
      </x:c>
      <x:c r="B5" s="19" t="str">
        <x:v>Somente Fortis</x:v>
      </x:c>
      <x:c r="C5" s="19" t="str">
        <x:v>Pasto fraco</x:v>
      </x:c>
      <x:c r="D5" s="19" t="n">
        <x:v>9</x:v>
      </x:c>
      <x:c r="E5" s="21" t="n">
        <x:f>Premissas!$B$6</x:f>
        <x:v>330</x:v>
      </x:c>
      <x:c r="F5" s="19" t="n">
        <x:f>XLOOKUP(A5,Lotes!$A$4:$A$8,Lotes!$B$4:$B$8,0)</x:f>
        <x:v>17</x:v>
      </x:c>
      <x:c r="G5" s="23" t="n">
        <x:f>XLOOKUP(A5,Lotes!$A$4:$A$8,Lotes!$C$4:$C$8,0)</x:f>
        <x:v>8.5</x:v>
      </x:c>
      <x:c r="H5" s="23" t="n">
        <x:f>G5*Premissas!$B$5/Premissas!$B$4</x:f>
        <x:v>231.8181818181818</x:v>
      </x:c>
      <x:c r="I5" s="23" t="n">
        <x:f>D5*Premissas!$B$5/Premissas!$B$4</x:f>
        <x:v>245.45454545454544</x:v>
      </x:c>
      <x:c r="J5" s="23" t="n">
        <x:f>MAX(0,I5-H5)</x:f>
        <x:v>13.636363636363626</x:v>
      </x:c>
      <x:c r="K5" s="23" t="n">
        <x:f>SUMIFS('Cenários de GMD'!$C$4:$C$19,'Cenários de GMD'!$A$4:$A$19,B5,'Cenários de GMD'!$B$4:$B$19,C5)</x:f>
        <x:v>0.1</x:v>
      </x:c>
      <x:c r="L5" s="23" t="n">
        <x:f>IF(J5=0,0,J5/K5)</x:f>
        <x:v>136.36363636363626</x:v>
      </x:c>
      <x:c r="M5" s="23" t="n">
        <x:f>((H5+I5)/2)*SUMIFS('Cenários de GMD'!$D$4:$D$19,'Cenários de GMD'!$A$4:$A$19,B5,'Cenários de GMD'!$B$4:$B$19,C5)</x:f>
        <x:v>0.23863636363636362</x:v>
      </x:c>
      <x:c r="N5" s="23" t="n">
        <x:f>((H5+I5)/2)*SUMIFS('Cenários de GMD'!$E$4:$E$19,'Cenários de GMD'!$A$4:$A$19,B5,'Cenários de GMD'!$B$4:$B$19,C5)</x:f>
        <x:v>0</x:v>
      </x:c>
      <x:c r="O5" s="21" t="n">
        <x:f>M5*Insumos!$E$4+N5*Insumos!$E$5</x:f>
        <x:v>0.7244999999999999</x:v>
      </x:c>
      <x:c r="P5" s="21" t="n">
        <x:f>O5*Premissas!$B$7</x:f>
        <x:v>21.735</x:v>
      </x:c>
      <x:c r="Q5" s="21" t="n">
        <x:f>O5*L5</x:f>
        <x:v>98.79545454545446</x:v>
      </x:c>
      <x:c r="R5" s="21" t="n">
        <x:f>Premissas!$B$7*Premissas!$B$8*L5</x:f>
        <x:v>0</x:v>
      </x:c>
      <x:c r="S5" s="21" t="n">
        <x:f>D5*E5</x:f>
        <x:v>2970</x:v>
      </x:c>
      <x:c r="T5" s="21" t="n">
        <x:f>S5*F5</x:f>
        <x:v>50490</x:v>
      </x:c>
      <x:c r="U5" s="21" t="n">
        <x:f>S5-XLOOKUP(A5,Lotes!$A$4:$A$8,Lotes!$D$4:$D$8,Premissas!$B$9)-Q5-R5</x:f>
        <x:v>921.2045454545455</x:v>
      </x:c>
      <x:c r="V5" s="21" t="n">
        <x:f>U5*F5</x:f>
        <x:v>15660.477272727274</x:v>
      </x:c>
      <x:c r="W5" s="20" t="n">
        <x:f>IF(S5=0,0,U5/S5)</x:f>
        <x:v>0.3101698806244261</x:v>
      </x:c>
      <x:c r="X5" s="21" t="n">
        <x:f>IF(D5-G5&lt;=0,0,Q5/(D5-G5))</x:f>
        <x:v>197.59090909090892</x:v>
      </x:c>
      <x:c r="Y5" s="20" t="n">
        <x:f>IFERROR(U5/(XLOOKUP(A5,Lotes!$A$4:$A$8,Lotes!$D$4:$D$8,Premissas!$B$9)+Q5+R5),0)</x:f>
        <x:v>0.44963226729674866</x:v>
      </x:c>
      <x:c r="Z5" s="20" t="n">
        <x:f>IF(L5=0,Y5,Y5/MAX(1,L5/Premissas!$B$7))</x:f>
        <x:v>0.09891909880528477</x:v>
      </x:c>
      <x:c r="AA5" s="19" t="str">
        <x:f>IF(L5=0,"Venda imediata",IF(L5&lt;=60,"Baixo",IF(L5&lt;=120,"Médio","Alto")))</x:f>
        <x:v>Alto</x:v>
      </x:c>
      <x:c r="AB5" s="19" t="str">
        <x:f>IF(U5&lt;0,"Não fazer",IF(AA5="Alto","Risco seca",IF(Z5&gt;=0.03,"Bom giro","Margem ok")))</x:f>
        <x:v>Risco seca</x:v>
      </x:c>
    </x:row>
    <x:row r="6">
      <x:c r="A6" s="19" t="str">
        <x:v>Lote maior - base 8,5@</x:v>
      </x:c>
      <x:c r="B6" s="19" t="str">
        <x:v>Somente Fortis</x:v>
      </x:c>
      <x:c r="C6" s="19" t="str">
        <x:v>Pasto fraco</x:v>
      </x:c>
      <x:c r="D6" s="19" t="n">
        <x:v>10.5</x:v>
      </x:c>
      <x:c r="E6" s="21" t="n">
        <x:f>Premissas!$B$6</x:f>
        <x:v>330</x:v>
      </x:c>
      <x:c r="F6" s="19" t="n">
        <x:f>XLOOKUP(A6,Lotes!$A$4:$A$8,Lotes!$B$4:$B$8,0)</x:f>
        <x:v>17</x:v>
      </x:c>
      <x:c r="G6" s="23" t="n">
        <x:f>XLOOKUP(A6,Lotes!$A$4:$A$8,Lotes!$C$4:$C$8,0)</x:f>
        <x:v>8.5</x:v>
      </x:c>
      <x:c r="H6" s="23" t="n">
        <x:f>G6*Premissas!$B$5/Premissas!$B$4</x:f>
        <x:v>231.8181818181818</x:v>
      </x:c>
      <x:c r="I6" s="23" t="n">
        <x:f>D6*Premissas!$B$5/Premissas!$B$4</x:f>
        <x:v>286.3636363636363</x:v>
      </x:c>
      <x:c r="J6" s="23" t="n">
        <x:f>MAX(0,I6-H6)</x:f>
        <x:v>54.545454545454504</x:v>
      </x:c>
      <x:c r="K6" s="23" t="n">
        <x:f>SUMIFS('Cenários de GMD'!$C$4:$C$19,'Cenários de GMD'!$A$4:$A$19,B6,'Cenários de GMD'!$B$4:$B$19,C6)</x:f>
        <x:v>0.1</x:v>
      </x:c>
      <x:c r="L6" s="23" t="n">
        <x:f>IF(J6=0,0,J6/K6)</x:f>
        <x:v>545.454545454545</x:v>
      </x:c>
      <x:c r="M6" s="23" t="n">
        <x:f>((H6+I6)/2)*SUMIFS('Cenários de GMD'!$D$4:$D$19,'Cenários de GMD'!$A$4:$A$19,B6,'Cenários de GMD'!$B$4:$B$19,C6)</x:f>
        <x:v>0.2590909090909091</x:v>
      </x:c>
      <x:c r="N6" s="23" t="n">
        <x:f>((H6+I6)/2)*SUMIFS('Cenários de GMD'!$E$4:$E$19,'Cenários de GMD'!$A$4:$A$19,B6,'Cenários de GMD'!$B$4:$B$19,C6)</x:f>
        <x:v>0</x:v>
      </x:c>
      <x:c r="O6" s="21" t="n">
        <x:f>M6*Insumos!$E$4+N6*Insumos!$E$5</x:f>
        <x:v>0.7866</x:v>
      </x:c>
      <x:c r="P6" s="21" t="n">
        <x:f>O6*Premissas!$B$7</x:f>
        <x:v>23.598</x:v>
      </x:c>
      <x:c r="Q6" s="21" t="n">
        <x:f>O6*L6</x:f>
        <x:v>429.0545454545451</x:v>
      </x:c>
      <x:c r="R6" s="21" t="n">
        <x:f>Premissas!$B$7*Premissas!$B$8*L6</x:f>
        <x:v>0</x:v>
      </x:c>
      <x:c r="S6" s="21" t="n">
        <x:f>D6*E6</x:f>
        <x:v>3465</x:v>
      </x:c>
      <x:c r="T6" s="21" t="n">
        <x:f>S6*F6</x:f>
        <x:v>58905</x:v>
      </x:c>
      <x:c r="U6" s="21" t="n">
        <x:f>S6-XLOOKUP(A6,Lotes!$A$4:$A$8,Lotes!$D$4:$D$8,Premissas!$B$9)-Q6-R6</x:f>
        <x:v>1085.9454545454548</x:v>
      </x:c>
      <x:c r="V6" s="21" t="n">
        <x:f>U6*F6</x:f>
        <x:v>18461.07272727273</x:v>
      </x:c>
      <x:c r="W6" s="20" t="n">
        <x:f>IF(S6=0,0,U6/S6)</x:f>
        <x:v>0.3134041715859898</x:v>
      </x:c>
      <x:c r="X6" s="21" t="n">
        <x:f>IF(D6-G6&lt;=0,0,Q6/(D6-G6))</x:f>
        <x:v>214.52727272727256</x:v>
      </x:c>
      <x:c r="Y6" s="20" t="n">
        <x:f>IFERROR(U6/(XLOOKUP(A6,Lotes!$A$4:$A$8,Lotes!$D$4:$D$8,Premissas!$B$9)+Q6+R6),0)</x:f>
        <x:v>0.45646093176815866</x:v>
      </x:c>
      <x:c r="Z6" s="20" t="n">
        <x:f>IF(L6=0,Y6,Y6/MAX(1,L6/Premissas!$B$7))</x:f>
        <x:v>0.025105351247248744</x:v>
      </x:c>
      <x:c r="AA6" s="19" t="str">
        <x:f>IF(L6=0,"Venda imediata",IF(L6&lt;=60,"Baixo",IF(L6&lt;=120,"Médio","Alto")))</x:f>
        <x:v>Alto</x:v>
      </x:c>
      <x:c r="AB6" s="19" t="str">
        <x:f>IF(U6&lt;0,"Não fazer",IF(AA6="Alto","Risco seca",IF(Z6&gt;=0.03,"Bom giro","Margem ok")))</x:f>
        <x:v>Risco seca</x:v>
      </x:c>
    </x:row>
    <x:row r="7">
      <x:c r="A7" s="19" t="str">
        <x:v>Lote maior - base 8,5@</x:v>
      </x:c>
      <x:c r="B7" s="19" t="str">
        <x:v>Somente Fortis</x:v>
      </x:c>
      <x:c r="C7" s="19" t="str">
        <x:v>Pasto fraco</x:v>
      </x:c>
      <x:c r="D7" s="19" t="n">
        <x:v>11</x:v>
      </x:c>
      <x:c r="E7" s="21" t="n">
        <x:f>Premissas!$B$6</x:f>
        <x:v>330</x:v>
      </x:c>
      <x:c r="F7" s="19" t="n">
        <x:f>XLOOKUP(A7,Lotes!$A$4:$A$8,Lotes!$B$4:$B$8,0)</x:f>
        <x:v>17</x:v>
      </x:c>
      <x:c r="G7" s="23" t="n">
        <x:f>XLOOKUP(A7,Lotes!$A$4:$A$8,Lotes!$C$4:$C$8,0)</x:f>
        <x:v>8.5</x:v>
      </x:c>
      <x:c r="H7" s="23" t="n">
        <x:f>G7*Premissas!$B$5/Premissas!$B$4</x:f>
        <x:v>231.8181818181818</x:v>
      </x:c>
      <x:c r="I7" s="23" t="n">
        <x:f>D7*Premissas!$B$5/Premissas!$B$4</x:f>
        <x:v>300</x:v>
      </x:c>
      <x:c r="J7" s="23" t="n">
        <x:f>MAX(0,I7-H7)</x:f>
        <x:v>68.18181818181819</x:v>
      </x:c>
      <x:c r="K7" s="23" t="n">
        <x:f>SUMIFS('Cenários de GMD'!$C$4:$C$19,'Cenários de GMD'!$A$4:$A$19,B7,'Cenários de GMD'!$B$4:$B$19,C7)</x:f>
        <x:v>0.1</x:v>
      </x:c>
      <x:c r="L7" s="23" t="n">
        <x:f>IF(J7=0,0,J7/K7)</x:f>
        <x:v>681.8181818181819</x:v>
      </x:c>
      <x:c r="M7" s="23" t="n">
        <x:f>((H7+I7)/2)*SUMIFS('Cenários de GMD'!$D$4:$D$19,'Cenários de GMD'!$A$4:$A$19,B7,'Cenários de GMD'!$B$4:$B$19,C7)</x:f>
        <x:v>0.2659090909090909</x:v>
      </x:c>
      <x:c r="N7" s="23" t="n">
        <x:f>((H7+I7)/2)*SUMIFS('Cenários de GMD'!$E$4:$E$19,'Cenários de GMD'!$A$4:$A$19,B7,'Cenários de GMD'!$B$4:$B$19,C7)</x:f>
        <x:v>0</x:v>
      </x:c>
      <x:c r="O7" s="21" t="n">
        <x:f>M7*Insumos!$E$4+N7*Insumos!$E$5</x:f>
        <x:v>0.8072999999999999</x:v>
      </x:c>
      <x:c r="P7" s="21" t="n">
        <x:f>O7*Premissas!$B$7</x:f>
        <x:v>24.218999999999998</x:v>
      </x:c>
      <x:c r="Q7" s="21" t="n">
        <x:f>O7*L7</x:f>
        <x:v>550.4318181818181</x:v>
      </x:c>
      <x:c r="R7" s="21" t="n">
        <x:f>Premissas!$B$7*Premissas!$B$8*L7</x:f>
        <x:v>0</x:v>
      </x:c>
      <x:c r="S7" s="21" t="n">
        <x:f>D7*E7</x:f>
        <x:v>3630</x:v>
      </x:c>
      <x:c r="T7" s="21" t="n">
        <x:f>S7*F7</x:f>
        <x:v>61710</x:v>
      </x:c>
      <x:c r="U7" s="21" t="n">
        <x:f>S7-XLOOKUP(A7,Lotes!$A$4:$A$8,Lotes!$D$4:$D$8,Premissas!$B$9)-Q7-R7</x:f>
        <x:v>1129.568181818182</x:v>
      </x:c>
      <x:c r="V7" s="21" t="n">
        <x:f>U7*F7</x:f>
        <x:v>19202.659090909096</x:v>
      </x:c>
      <x:c r="W7" s="20" t="n">
        <x:f>IF(S7=0,0,U7/S7)</x:f>
        <x:v>0.311175807663411</x:v>
      </x:c>
      <x:c r="X7" s="21" t="n">
        <x:f>IF(D7-G7&lt;=0,0,Q7/(D7-G7))</x:f>
        <x:v>220.17272727272726</x:v>
      </x:c>
      <x:c r="Y7" s="20" t="n">
        <x:f>IFERROR(U7/(XLOOKUP(A7,Lotes!$A$4:$A$8,Lotes!$D$4:$D$8,Premissas!$B$9)+Q7+R7),0)</x:f>
        <x:v>0.45174924331251887</x:v>
      </x:c>
      <x:c r="Z7" s="20" t="n">
        <x:f>IF(L7=0,Y7,Y7/MAX(1,L7/Premissas!$B$7))</x:f>
        <x:v>0.01987696670575083</x:v>
      </x:c>
      <x:c r="AA7" s="19" t="str">
        <x:f>IF(L7=0,"Venda imediata",IF(L7&lt;=60,"Baixo",IF(L7&lt;=120,"Médio","Alto")))</x:f>
        <x:v>Alto</x:v>
      </x:c>
      <x:c r="AB7" s="19" t="str">
        <x:f>IF(U7&lt;0,"Não fazer",IF(AA7="Alto","Risco seca",IF(Z7&gt;=0.03,"Bom giro","Margem ok")))</x:f>
        <x:v>Risco seca</x:v>
      </x:c>
    </x:row>
    <x:row r="8">
      <x:c r="A8" s="19" t="str">
        <x:v>Lote maior - base 8,5@</x:v>
      </x:c>
      <x:c r="B8" s="19" t="str">
        <x:v>Somente Fortis</x:v>
      </x:c>
      <x:c r="C8" s="19" t="str">
        <x:v>Pasto fraco</x:v>
      </x:c>
      <x:c r="D8" s="19" t="n">
        <x:v>12</x:v>
      </x:c>
      <x:c r="E8" s="21" t="n">
        <x:f>Premissas!$B$6</x:f>
        <x:v>330</x:v>
      </x:c>
      <x:c r="F8" s="19" t="n">
        <x:f>XLOOKUP(A8,Lotes!$A$4:$A$8,Lotes!$B$4:$B$8,0)</x:f>
        <x:v>17</x:v>
      </x:c>
      <x:c r="G8" s="23" t="n">
        <x:f>XLOOKUP(A8,Lotes!$A$4:$A$8,Lotes!$C$4:$C$8,0)</x:f>
        <x:v>8.5</x:v>
      </x:c>
      <x:c r="H8" s="23" t="n">
        <x:f>G8*Premissas!$B$5/Premissas!$B$4</x:f>
        <x:v>231.8181818181818</x:v>
      </x:c>
      <x:c r="I8" s="23" t="n">
        <x:f>D8*Premissas!$B$5/Premissas!$B$4</x:f>
        <x:v>327.27272727272725</x:v>
      </x:c>
      <x:c r="J8" s="23" t="n">
        <x:f>MAX(0,I8-H8)</x:f>
        <x:v>95.45454545454544</x:v>
      </x:c>
      <x:c r="K8" s="23" t="n">
        <x:f>SUMIFS('Cenários de GMD'!$C$4:$C$19,'Cenários de GMD'!$A$4:$A$19,B8,'Cenários de GMD'!$B$4:$B$19,C8)</x:f>
        <x:v>0.1</x:v>
      </x:c>
      <x:c r="L8" s="23" t="n">
        <x:f>IF(J8=0,0,J8/K8)</x:f>
        <x:v>954.5454545454544</x:v>
      </x:c>
      <x:c r="M8" s="23" t="n">
        <x:f>((H8+I8)/2)*SUMIFS('Cenários de GMD'!$D$4:$D$19,'Cenários de GMD'!$A$4:$A$19,B8,'Cenários de GMD'!$B$4:$B$19,C8)</x:f>
        <x:v>0.2795454545454545</x:v>
      </x:c>
      <x:c r="N8" s="23" t="n">
        <x:f>((H8+I8)/2)*SUMIFS('Cenários de GMD'!$E$4:$E$19,'Cenários de GMD'!$A$4:$A$19,B8,'Cenários de GMD'!$B$4:$B$19,C8)</x:f>
        <x:v>0</x:v>
      </x:c>
      <x:c r="O8" s="21" t="n">
        <x:f>M8*Insumos!$E$4+N8*Insumos!$E$5</x:f>
        <x:v>0.8486999999999998</x:v>
      </x:c>
      <x:c r="P8" s="21" t="n">
        <x:f>O8*Premissas!$B$7</x:f>
        <x:v>25.460999999999995</x:v>
      </x:c>
      <x:c r="Q8" s="21" t="n">
        <x:f>O8*L8</x:f>
        <x:v>810.1227272727269</x:v>
      </x:c>
      <x:c r="R8" s="21" t="n">
        <x:f>Premissas!$B$7*Premissas!$B$8*L8</x:f>
        <x:v>0</x:v>
      </x:c>
      <x:c r="S8" s="21" t="n">
        <x:f>D8*E8</x:f>
        <x:v>3960</x:v>
      </x:c>
      <x:c r="T8" s="21" t="n">
        <x:f>S8*F8</x:f>
        <x:v>67320</x:v>
      </x:c>
      <x:c r="U8" s="21" t="n">
        <x:f>S8-XLOOKUP(A8,Lotes!$A$4:$A$8,Lotes!$D$4:$D$8,Premissas!$B$9)-Q8-R8</x:f>
        <x:v>1199.877272727273</x:v>
      </x:c>
      <x:c r="V8" s="21" t="n">
        <x:f>U8*F8</x:f>
        <x:v>20397.913636363643</x:v>
      </x:c>
      <x:c r="W8" s="20" t="n">
        <x:f>IF(S8=0,0,U8/S8)</x:f>
        <x:v>0.3029993112947659</x:v>
      </x:c>
      <x:c r="X8" s="21" t="n">
        <x:f>IF(D8-G8&lt;=0,0,Q8/(D8-G8))</x:f>
        <x:v>231.46363636363625</x:v>
      </x:c>
      <x:c r="Y8" s="20" t="n">
        <x:f>IFERROR(U8/(XLOOKUP(A8,Lotes!$A$4:$A$8,Lotes!$D$4:$D$8,Premissas!$B$9)+Q8+R8),0)</x:f>
        <x:v>0.43471881191053774</x:v>
      </x:c>
      <x:c r="Z8" s="20" t="n">
        <x:f>IF(L8=0,Y8,Y8/MAX(1,L8/Premissas!$B$7))</x:f>
        <x:v>0.013662591231474045</x:v>
      </x:c>
      <x:c r="AA8" s="19" t="str">
        <x:f>IF(L8=0,"Venda imediata",IF(L8&lt;=60,"Baixo",IF(L8&lt;=120,"Médio","Alto")))</x:f>
        <x:v>Alto</x:v>
      </x:c>
      <x:c r="AB8" s="19" t="str">
        <x:f>IF(U8&lt;0,"Não fazer",IF(AA8="Alto","Risco seca",IF(Z8&gt;=0.03,"Bom giro","Margem ok")))</x:f>
        <x:v>Risco seca</x:v>
      </x:c>
    </x:row>
    <x:row r="9">
      <x:c r="A9" s="19" t="str">
        <x:v>Lote maior - base 8,5@</x:v>
      </x:c>
      <x:c r="B9" s="19" t="str">
        <x:v>Somente Fortis</x:v>
      </x:c>
      <x:c r="C9" s="19" t="str">
        <x:v>Pasto médio</x:v>
      </x:c>
      <x:c r="D9" s="19" t="n">
        <x:v>8.5</x:v>
      </x:c>
      <x:c r="E9" s="21" t="n">
        <x:f>Premissas!$B$6</x:f>
        <x:v>330</x:v>
      </x:c>
      <x:c r="F9" s="19" t="n">
        <x:f>XLOOKUP(A9,Lotes!$A$4:$A$8,Lotes!$B$4:$B$8,0)</x:f>
        <x:v>17</x:v>
      </x:c>
      <x:c r="G9" s="23" t="n">
        <x:f>XLOOKUP(A9,Lotes!$A$4:$A$8,Lotes!$C$4:$C$8,0)</x:f>
        <x:v>8.5</x:v>
      </x:c>
      <x:c r="H9" s="23" t="n">
        <x:f>G9*Premissas!$B$5/Premissas!$B$4</x:f>
        <x:v>231.8181818181818</x:v>
      </x:c>
      <x:c r="I9" s="23" t="n">
        <x:f>D9*Premissas!$B$5/Premissas!$B$4</x:f>
        <x:v>231.8181818181818</x:v>
      </x:c>
      <x:c r="J9" s="23" t="n">
        <x:f>MAX(0,I9-H9)</x:f>
        <x:v>0</x:v>
      </x:c>
      <x:c r="K9" s="23" t="n">
        <x:f>SUMIFS('Cenários de GMD'!$C$4:$C$19,'Cenários de GMD'!$A$4:$A$19,B9,'Cenários de GMD'!$B$4:$B$19,C9)</x:f>
        <x:v>0.3</x:v>
      </x:c>
      <x:c r="L9" s="23" t="n">
        <x:f>IF(J9=0,0,J9/K9)</x:f>
        <x:v>0</x:v>
      </x:c>
      <x:c r="M9" s="23" t="n">
        <x:f>((H9+I9)/2)*SUMIFS('Cenários de GMD'!$D$4:$D$19,'Cenários de GMD'!$A$4:$A$19,B9,'Cenários de GMD'!$B$4:$B$19,C9)</x:f>
        <x:v>0.2318181818181818</x:v>
      </x:c>
      <x:c r="N9" s="23" t="n">
        <x:f>((H9+I9)/2)*SUMIFS('Cenários de GMD'!$E$4:$E$19,'Cenários de GMD'!$A$4:$A$19,B9,'Cenários de GMD'!$B$4:$B$19,C9)</x:f>
        <x:v>0</x:v>
      </x:c>
      <x:c r="O9" s="21" t="n">
        <x:f>M9*Insumos!$E$4+N9*Insumos!$E$5</x:f>
        <x:v>0.7038</x:v>
      </x:c>
      <x:c r="P9" s="21" t="n">
        <x:f>O9*Premissas!$B$7</x:f>
        <x:v>21.114</x:v>
      </x:c>
      <x:c r="Q9" s="21" t="n">
        <x:f>O9*L9</x:f>
        <x:v>0</x:v>
      </x:c>
      <x:c r="R9" s="21" t="n">
        <x:f>Premissas!$B$7*Premissas!$B$8*L9</x:f>
        <x:v>0</x:v>
      </x:c>
      <x:c r="S9" s="21" t="n">
        <x:f>D9*E9</x:f>
        <x:v>2805</x:v>
      </x:c>
      <x:c r="T9" s="21" t="n">
        <x:f>S9*F9</x:f>
        <x:v>47685</x:v>
      </x:c>
      <x:c r="U9" s="21" t="n">
        <x:f>S9-XLOOKUP(A9,Lotes!$A$4:$A$8,Lotes!$D$4:$D$8,Premissas!$B$9)-Q9-R9</x:f>
        <x:v>855</x:v>
      </x:c>
      <x:c r="V9" s="21" t="n">
        <x:f>U9*F9</x:f>
        <x:v>14535</x:v>
      </x:c>
      <x:c r="W9" s="20" t="n">
        <x:f>IF(S9=0,0,U9/S9)</x:f>
        <x:v>0.3048128342245989</x:v>
      </x:c>
      <x:c r="X9" s="21" t="n">
        <x:f>IF(D9-G9&lt;=0,0,Q9/(D9-G9))</x:f>
        <x:v>0</x:v>
      </x:c>
      <x:c r="Y9" s="20" t="n">
        <x:f>IFERROR(U9/(XLOOKUP(A9,Lotes!$A$4:$A$8,Lotes!$D$4:$D$8,Premissas!$B$9)+Q9+R9),0)</x:f>
        <x:v>0.43846153846153846</x:v>
      </x:c>
      <x:c r="Z9" s="20" t="n">
        <x:f>IF(L9=0,Y9,Y9/MAX(1,L9/Premissas!$B$7))</x:f>
        <x:v>0.43846153846153846</x:v>
      </x:c>
      <x:c r="AA9" s="19" t="str">
        <x:f>IF(L9=0,"Venda imediata",IF(L9&lt;=60,"Baixo",IF(L9&lt;=120,"Médio","Alto")))</x:f>
        <x:v>Venda imediata</x:v>
      </x:c>
      <x:c r="AB9" s="19" t="str">
        <x:f>IF(U9&lt;0,"Não fazer",IF(AA9="Alto","Risco seca",IF(Z9&gt;=0.03,"Bom giro","Margem ok")))</x:f>
        <x:v>Bom giro</x:v>
      </x:c>
    </x:row>
    <x:row r="10">
      <x:c r="A10" s="19" t="str">
        <x:v>Lote maior - base 8,5@</x:v>
      </x:c>
      <x:c r="B10" s="19" t="str">
        <x:v>Somente Fortis</x:v>
      </x:c>
      <x:c r="C10" s="19" t="str">
        <x:v>Pasto médio</x:v>
      </x:c>
      <x:c r="D10" s="19" t="n">
        <x:v>9</x:v>
      </x:c>
      <x:c r="E10" s="21" t="n">
        <x:f>Premissas!$B$6</x:f>
        <x:v>330</x:v>
      </x:c>
      <x:c r="F10" s="19" t="n">
        <x:f>XLOOKUP(A10,Lotes!$A$4:$A$8,Lotes!$B$4:$B$8,0)</x:f>
        <x:v>17</x:v>
      </x:c>
      <x:c r="G10" s="23" t="n">
        <x:f>XLOOKUP(A10,Lotes!$A$4:$A$8,Lotes!$C$4:$C$8,0)</x:f>
        <x:v>8.5</x:v>
      </x:c>
      <x:c r="H10" s="23" t="n">
        <x:f>G10*Premissas!$B$5/Premissas!$B$4</x:f>
        <x:v>231.8181818181818</x:v>
      </x:c>
      <x:c r="I10" s="23" t="n">
        <x:f>D10*Premissas!$B$5/Premissas!$B$4</x:f>
        <x:v>245.45454545454544</x:v>
      </x:c>
      <x:c r="J10" s="23" t="n">
        <x:f>MAX(0,I10-H10)</x:f>
        <x:v>13.636363636363626</x:v>
      </x:c>
      <x:c r="K10" s="23" t="n">
        <x:f>SUMIFS('Cenários de GMD'!$C$4:$C$19,'Cenários de GMD'!$A$4:$A$19,B10,'Cenários de GMD'!$B$4:$B$19,C10)</x:f>
        <x:v>0.3</x:v>
      </x:c>
      <x:c r="L10" s="23" t="n">
        <x:f>IF(J10=0,0,J10/K10)</x:f>
        <x:v>45.454545454545425</x:v>
      </x:c>
      <x:c r="M10" s="23" t="n">
        <x:f>((H10+I10)/2)*SUMIFS('Cenários de GMD'!$D$4:$D$19,'Cenários de GMD'!$A$4:$A$19,B10,'Cenários de GMD'!$B$4:$B$19,C10)</x:f>
        <x:v>0.23863636363636362</x:v>
      </x:c>
      <x:c r="N10" s="23" t="n">
        <x:f>((H10+I10)/2)*SUMIFS('Cenários de GMD'!$E$4:$E$19,'Cenários de GMD'!$A$4:$A$19,B10,'Cenários de GMD'!$B$4:$B$19,C10)</x:f>
        <x:v>0</x:v>
      </x:c>
      <x:c r="O10" s="21" t="n">
        <x:f>M10*Insumos!$E$4+N10*Insumos!$E$5</x:f>
        <x:v>0.7244999999999999</x:v>
      </x:c>
      <x:c r="P10" s="21" t="n">
        <x:f>O10*Premissas!$B$7</x:f>
        <x:v>21.735</x:v>
      </x:c>
      <x:c r="Q10" s="21" t="n">
        <x:f>O10*L10</x:f>
        <x:v>32.93181818181816</x:v>
      </x:c>
      <x:c r="R10" s="21" t="n">
        <x:f>Premissas!$B$7*Premissas!$B$8*L10</x:f>
        <x:v>0</x:v>
      </x:c>
      <x:c r="S10" s="21" t="n">
        <x:f>D10*E10</x:f>
        <x:v>2970</x:v>
      </x:c>
      <x:c r="T10" s="21" t="n">
        <x:f>S10*F10</x:f>
        <x:v>50490</x:v>
      </x:c>
      <x:c r="U10" s="21" t="n">
        <x:f>S10-XLOOKUP(A10,Lotes!$A$4:$A$8,Lotes!$D$4:$D$8,Premissas!$B$9)-Q10-R10</x:f>
        <x:v>987.0681818181819</x:v>
      </x:c>
      <x:c r="V10" s="21" t="n">
        <x:f>U10*F10</x:f>
        <x:v>16780.159090909092</x:v>
      </x:c>
      <x:c r="W10" s="20" t="n">
        <x:f>IF(S10=0,0,U10/S10)</x:f>
        <x:v>0.332346189164371</x:v>
      </x:c>
      <x:c r="X10" s="21" t="n">
        <x:f>IF(D10-G10&lt;=0,0,Q10/(D10-G10))</x:f>
        <x:v>65.86363636363632</x:v>
      </x:c>
      <x:c r="Y10" s="20" t="n">
        <x:f>IFERROR(U10/(XLOOKUP(A10,Lotes!$A$4:$A$8,Lotes!$D$4:$D$8,Premissas!$B$9)+Q10+R10),0)</x:f>
        <x:v>0.4977822095382182</x:v>
      </x:c>
      <x:c r="Z10" s="20" t="n">
        <x:f>IF(L10=0,Y10,Y10/MAX(1,L10/Premissas!$B$7))</x:f>
        <x:v>0.3285362582952242</x:v>
      </x:c>
      <x:c r="AA10" s="19" t="str">
        <x:f>IF(L10=0,"Venda imediata",IF(L10&lt;=60,"Baixo",IF(L10&lt;=120,"Médio","Alto")))</x:f>
        <x:v>Baixo</x:v>
      </x:c>
      <x:c r="AB10" s="19" t="str">
        <x:f>IF(U10&lt;0,"Não fazer",IF(AA10="Alto","Risco seca",IF(Z10&gt;=0.03,"Bom giro","Margem ok")))</x:f>
        <x:v>Bom giro</x:v>
      </x:c>
    </x:row>
    <x:row r="11">
      <x:c r="A11" s="19" t="str">
        <x:v>Lote maior - base 8,5@</x:v>
      </x:c>
      <x:c r="B11" s="19" t="str">
        <x:v>Somente Fortis</x:v>
      </x:c>
      <x:c r="C11" s="19" t="str">
        <x:v>Pasto médio</x:v>
      </x:c>
      <x:c r="D11" s="19" t="n">
        <x:v>10.5</x:v>
      </x:c>
      <x:c r="E11" s="21" t="n">
        <x:f>Premissas!$B$6</x:f>
        <x:v>330</x:v>
      </x:c>
      <x:c r="F11" s="19" t="n">
        <x:f>XLOOKUP(A11,Lotes!$A$4:$A$8,Lotes!$B$4:$B$8,0)</x:f>
        <x:v>17</x:v>
      </x:c>
      <x:c r="G11" s="23" t="n">
        <x:f>XLOOKUP(A11,Lotes!$A$4:$A$8,Lotes!$C$4:$C$8,0)</x:f>
        <x:v>8.5</x:v>
      </x:c>
      <x:c r="H11" s="23" t="n">
        <x:f>G11*Premissas!$B$5/Premissas!$B$4</x:f>
        <x:v>231.8181818181818</x:v>
      </x:c>
      <x:c r="I11" s="23" t="n">
        <x:f>D11*Premissas!$B$5/Premissas!$B$4</x:f>
        <x:v>286.3636363636363</x:v>
      </x:c>
      <x:c r="J11" s="23" t="n">
        <x:f>MAX(0,I11-H11)</x:f>
        <x:v>54.545454545454504</x:v>
      </x:c>
      <x:c r="K11" s="23" t="n">
        <x:f>SUMIFS('Cenários de GMD'!$C$4:$C$19,'Cenários de GMD'!$A$4:$A$19,B11,'Cenários de GMD'!$B$4:$B$19,C11)</x:f>
        <x:v>0.3</x:v>
      </x:c>
      <x:c r="L11" s="23" t="n">
        <x:f>IF(J11=0,0,J11/K11)</x:f>
        <x:v>181.8181818181817</x:v>
      </x:c>
      <x:c r="M11" s="23" t="n">
        <x:f>((H11+I11)/2)*SUMIFS('Cenários de GMD'!$D$4:$D$19,'Cenários de GMD'!$A$4:$A$19,B11,'Cenários de GMD'!$B$4:$B$19,C11)</x:f>
        <x:v>0.2590909090909091</x:v>
      </x:c>
      <x:c r="N11" s="23" t="n">
        <x:f>((H11+I11)/2)*SUMIFS('Cenários de GMD'!$E$4:$E$19,'Cenários de GMD'!$A$4:$A$19,B11,'Cenários de GMD'!$B$4:$B$19,C11)</x:f>
        <x:v>0</x:v>
      </x:c>
      <x:c r="O11" s="21" t="n">
        <x:f>M11*Insumos!$E$4+N11*Insumos!$E$5</x:f>
        <x:v>0.7866</x:v>
      </x:c>
      <x:c r="P11" s="21" t="n">
        <x:f>O11*Premissas!$B$7</x:f>
        <x:v>23.598</x:v>
      </x:c>
      <x:c r="Q11" s="21" t="n">
        <x:f>O11*L11</x:f>
        <x:v>143.01818181818172</x:v>
      </x:c>
      <x:c r="R11" s="21" t="n">
        <x:f>Premissas!$B$7*Premissas!$B$8*L11</x:f>
        <x:v>0</x:v>
      </x:c>
      <x:c r="S11" s="21" t="n">
        <x:f>D11*E11</x:f>
        <x:v>3465</x:v>
      </x:c>
      <x:c r="T11" s="21" t="n">
        <x:f>S11*F11</x:f>
        <x:v>58905</x:v>
      </x:c>
      <x:c r="U11" s="21" t="n">
        <x:f>S11-XLOOKUP(A11,Lotes!$A$4:$A$8,Lotes!$D$4:$D$8,Premissas!$B$9)-Q11-R11</x:f>
        <x:v>1371.9818181818182</x:v>
      </x:c>
      <x:c r="V11" s="21" t="n">
        <x:f>U11*F11</x:f>
        <x:v>23323.69090909091</x:v>
      </x:c>
      <x:c r="W11" s="20" t="n">
        <x:f>IF(S11=0,0,U11/S11)</x:f>
        <x:v>0.39595434868162144</x:v>
      </x:c>
      <x:c r="X11" s="21" t="n">
        <x:f>IF(D11-G11&lt;=0,0,Q11/(D11-G11))</x:f>
        <x:v>71.50909090909086</x:v>
      </x:c>
      <x:c r="Y11" s="20" t="n">
        <x:f>IFERROR(U11/(XLOOKUP(A11,Lotes!$A$4:$A$8,Lotes!$D$4:$D$8,Premissas!$B$9)+Q11+R11),0)</x:f>
        <x:v>0.6555040133430626</x:v>
      </x:c>
      <x:c r="Z11" s="20" t="n">
        <x:f>IF(L11=0,Y11,Y11/MAX(1,L11/Premissas!$B$7))</x:f>
        <x:v>0.1081581622016054</x:v>
      </x:c>
      <x:c r="AA11" s="19" t="str">
        <x:f>IF(L11=0,"Venda imediata",IF(L11&lt;=60,"Baixo",IF(L11&lt;=120,"Médio","Alto")))</x:f>
        <x:v>Alto</x:v>
      </x:c>
      <x:c r="AB11" s="19" t="str">
        <x:f>IF(U11&lt;0,"Não fazer",IF(AA11="Alto","Risco seca",IF(Z11&gt;=0.03,"Bom giro","Margem ok")))</x:f>
        <x:v>Risco seca</x:v>
      </x:c>
    </x:row>
    <x:row r="12">
      <x:c r="A12" s="19" t="str">
        <x:v>Lote maior - base 8,5@</x:v>
      </x:c>
      <x:c r="B12" s="19" t="str">
        <x:v>Somente Fortis</x:v>
      </x:c>
      <x:c r="C12" s="19" t="str">
        <x:v>Pasto médio</x:v>
      </x:c>
      <x:c r="D12" s="19" t="n">
        <x:v>11</x:v>
      </x:c>
      <x:c r="E12" s="21" t="n">
        <x:f>Premissas!$B$6</x:f>
        <x:v>330</x:v>
      </x:c>
      <x:c r="F12" s="19" t="n">
        <x:f>XLOOKUP(A12,Lotes!$A$4:$A$8,Lotes!$B$4:$B$8,0)</x:f>
        <x:v>17</x:v>
      </x:c>
      <x:c r="G12" s="23" t="n">
        <x:f>XLOOKUP(A12,Lotes!$A$4:$A$8,Lotes!$C$4:$C$8,0)</x:f>
        <x:v>8.5</x:v>
      </x:c>
      <x:c r="H12" s="23" t="n">
        <x:f>G12*Premissas!$B$5/Premissas!$B$4</x:f>
        <x:v>231.8181818181818</x:v>
      </x:c>
      <x:c r="I12" s="23" t="n">
        <x:f>D12*Premissas!$B$5/Premissas!$B$4</x:f>
        <x:v>300</x:v>
      </x:c>
      <x:c r="J12" s="23" t="n">
        <x:f>MAX(0,I12-H12)</x:f>
        <x:v>68.18181818181819</x:v>
      </x:c>
      <x:c r="K12" s="23" t="n">
        <x:f>SUMIFS('Cenários de GMD'!$C$4:$C$19,'Cenários de GMD'!$A$4:$A$19,B12,'Cenários de GMD'!$B$4:$B$19,C12)</x:f>
        <x:v>0.3</x:v>
      </x:c>
      <x:c r="L12" s="23" t="n">
        <x:f>IF(J12=0,0,J12/K12)</x:f>
        <x:v>227.2727272727273</x:v>
      </x:c>
      <x:c r="M12" s="23" t="n">
        <x:f>((H12+I12)/2)*SUMIFS('Cenários de GMD'!$D$4:$D$19,'Cenários de GMD'!$A$4:$A$19,B12,'Cenários de GMD'!$B$4:$B$19,C12)</x:f>
        <x:v>0.2659090909090909</x:v>
      </x:c>
      <x:c r="N12" s="23" t="n">
        <x:f>((H12+I12)/2)*SUMIFS('Cenários de GMD'!$E$4:$E$19,'Cenários de GMD'!$A$4:$A$19,B12,'Cenários de GMD'!$B$4:$B$19,C12)</x:f>
        <x:v>0</x:v>
      </x:c>
      <x:c r="O12" s="21" t="n">
        <x:f>M12*Insumos!$E$4+N12*Insumos!$E$5</x:f>
        <x:v>0.8072999999999999</x:v>
      </x:c>
      <x:c r="P12" s="21" t="n">
        <x:f>O12*Premissas!$B$7</x:f>
        <x:v>24.218999999999998</x:v>
      </x:c>
      <x:c r="Q12" s="21" t="n">
        <x:f>O12*L12</x:f>
        <x:v>183.47727272727275</x:v>
      </x:c>
      <x:c r="R12" s="21" t="n">
        <x:f>Premissas!$B$7*Premissas!$B$8*L12</x:f>
        <x:v>0</x:v>
      </x:c>
      <x:c r="S12" s="21" t="n">
        <x:f>D12*E12</x:f>
        <x:v>3630</x:v>
      </x:c>
      <x:c r="T12" s="21" t="n">
        <x:f>S12*F12</x:f>
        <x:v>61710</x:v>
      </x:c>
      <x:c r="U12" s="21" t="n">
        <x:f>S12-XLOOKUP(A12,Lotes!$A$4:$A$8,Lotes!$D$4:$D$8,Premissas!$B$9)-Q12-R12</x:f>
        <x:v>1496.5227272727273</x:v>
      </x:c>
      <x:c r="V12" s="21" t="n">
        <x:f>U12*F12</x:f>
        <x:v>25440.886363636364</x:v>
      </x:c>
      <x:c r="W12" s="20" t="n">
        <x:f>IF(S12=0,0,U12/S12)</x:f>
        <x:v>0.4122652141247182</x:v>
      </x:c>
      <x:c r="X12" s="21" t="n">
        <x:f>IF(D12-G12&lt;=0,0,Q12/(D12-G12))</x:f>
        <x:v>73.3909090909091</x:v>
      </x:c>
      <x:c r="Y12" s="20" t="n">
        <x:f>IFERROR(U12/(XLOOKUP(A12,Lotes!$A$4:$A$8,Lotes!$D$4:$D$8,Premissas!$B$9)+Q12+R12),0)</x:f>
        <x:v>0.7014477006167906</x:v>
      </x:c>
      <x:c r="Z12" s="20" t="n">
        <x:f>IF(L12=0,Y12,Y12/MAX(1,L12/Premissas!$B$7))</x:f>
        <x:v>0.09259109648141635</x:v>
      </x:c>
      <x:c r="AA12" s="19" t="str">
        <x:f>IF(L12=0,"Venda imediata",IF(L12&lt;=60,"Baixo",IF(L12&lt;=120,"Médio","Alto")))</x:f>
        <x:v>Alto</x:v>
      </x:c>
      <x:c r="AB12" s="19" t="str">
        <x:f>IF(U12&lt;0,"Não fazer",IF(AA12="Alto","Risco seca",IF(Z12&gt;=0.03,"Bom giro","Margem ok")))</x:f>
        <x:v>Risco seca</x:v>
      </x:c>
    </x:row>
    <x:row r="13">
      <x:c r="A13" s="19" t="str">
        <x:v>Lote maior - base 8,5@</x:v>
      </x:c>
      <x:c r="B13" s="19" t="str">
        <x:v>Somente Fortis</x:v>
      </x:c>
      <x:c r="C13" s="19" t="str">
        <x:v>Pasto médio</x:v>
      </x:c>
      <x:c r="D13" s="19" t="n">
        <x:v>12</x:v>
      </x:c>
      <x:c r="E13" s="21" t="n">
        <x:f>Premissas!$B$6</x:f>
        <x:v>330</x:v>
      </x:c>
      <x:c r="F13" s="19" t="n">
        <x:f>XLOOKUP(A13,Lotes!$A$4:$A$8,Lotes!$B$4:$B$8,0)</x:f>
        <x:v>17</x:v>
      </x:c>
      <x:c r="G13" s="23" t="n">
        <x:f>XLOOKUP(A13,Lotes!$A$4:$A$8,Lotes!$C$4:$C$8,0)</x:f>
        <x:v>8.5</x:v>
      </x:c>
      <x:c r="H13" s="23" t="n">
        <x:f>G13*Premissas!$B$5/Premissas!$B$4</x:f>
        <x:v>231.8181818181818</x:v>
      </x:c>
      <x:c r="I13" s="23" t="n">
        <x:f>D13*Premissas!$B$5/Premissas!$B$4</x:f>
        <x:v>327.27272727272725</x:v>
      </x:c>
      <x:c r="J13" s="23" t="n">
        <x:f>MAX(0,I13-H13)</x:f>
        <x:v>95.45454545454544</x:v>
      </x:c>
      <x:c r="K13" s="23" t="n">
        <x:f>SUMIFS('Cenários de GMD'!$C$4:$C$19,'Cenários de GMD'!$A$4:$A$19,B13,'Cenários de GMD'!$B$4:$B$19,C13)</x:f>
        <x:v>0.3</x:v>
      </x:c>
      <x:c r="L13" s="23" t="n">
        <x:f>IF(J13=0,0,J13/K13)</x:f>
        <x:v>318.18181818181813</x:v>
      </x:c>
      <x:c r="M13" s="23" t="n">
        <x:f>((H13+I13)/2)*SUMIFS('Cenários de GMD'!$D$4:$D$19,'Cenários de GMD'!$A$4:$A$19,B13,'Cenários de GMD'!$B$4:$B$19,C13)</x:f>
        <x:v>0.2795454545454545</x:v>
      </x:c>
      <x:c r="N13" s="23" t="n">
        <x:f>((H13+I13)/2)*SUMIFS('Cenários de GMD'!$E$4:$E$19,'Cenários de GMD'!$A$4:$A$19,B13,'Cenários de GMD'!$B$4:$B$19,C13)</x:f>
        <x:v>0</x:v>
      </x:c>
      <x:c r="O13" s="21" t="n">
        <x:f>M13*Insumos!$E$4+N13*Insumos!$E$5</x:f>
        <x:v>0.8486999999999998</x:v>
      </x:c>
      <x:c r="P13" s="21" t="n">
        <x:f>O13*Premissas!$B$7</x:f>
        <x:v>25.460999999999995</x:v>
      </x:c>
      <x:c r="Q13" s="21" t="n">
        <x:f>O13*L13</x:f>
        <x:v>270.040909090909</x:v>
      </x:c>
      <x:c r="R13" s="21" t="n">
        <x:f>Premissas!$B$7*Premissas!$B$8*L13</x:f>
        <x:v>0</x:v>
      </x:c>
      <x:c r="S13" s="21" t="n">
        <x:f>D13*E13</x:f>
        <x:v>3960</x:v>
      </x:c>
      <x:c r="T13" s="21" t="n">
        <x:f>S13*F13</x:f>
        <x:v>67320</x:v>
      </x:c>
      <x:c r="U13" s="21" t="n">
        <x:f>S13-XLOOKUP(A13,Lotes!$A$4:$A$8,Lotes!$D$4:$D$8,Premissas!$B$9)-Q13-R13</x:f>
        <x:v>1739.959090909091</x:v>
      </x:c>
      <x:c r="V13" s="21" t="n">
        <x:f>U13*F13</x:f>
        <x:v>29579.304545454546</x:v>
      </x:c>
      <x:c r="W13" s="20" t="n">
        <x:f>IF(S13=0,0,U13/S13)</x:f>
        <x:v>0.439383608815427</x:v>
      </x:c>
      <x:c r="X13" s="21" t="n">
        <x:f>IF(D13-G13&lt;=0,0,Q13/(D13-G13))</x:f>
        <x:v>77.15454545454543</x:v>
      </x:c>
      <x:c r="Y13" s="20" t="n">
        <x:f>IFERROR(U13/(XLOOKUP(A13,Lotes!$A$4:$A$8,Lotes!$D$4:$D$8,Premissas!$B$9)+Q13+R13),0)</x:f>
        <x:v>0.783750913680952</x:v>
      </x:c>
      <x:c r="Z13" s="20" t="n">
        <x:f>IF(L13=0,Y13,Y13/MAX(1,L13/Premissas!$B$7))</x:f>
        <x:v>0.07389651471848978</x:v>
      </x:c>
      <x:c r="AA13" s="19" t="str">
        <x:f>IF(L13=0,"Venda imediata",IF(L13&lt;=60,"Baixo",IF(L13&lt;=120,"Médio","Alto")))</x:f>
        <x:v>Alto</x:v>
      </x:c>
      <x:c r="AB13" s="19" t="str">
        <x:f>IF(U13&lt;0,"Não fazer",IF(AA13="Alto","Risco seca",IF(Z13&gt;=0.03,"Bom giro","Margem ok")))</x:f>
        <x:v>Risco seca</x:v>
      </x:c>
    </x:row>
    <x:row r="14">
      <x:c r="A14" s="19" t="str">
        <x:v>Lote maior - base 8,5@</x:v>
      </x:c>
      <x:c r="B14" s="19" t="str">
        <x:v>Somente Fortis</x:v>
      </x:c>
      <x:c r="C14" s="19" t="str">
        <x:v>Pasto bom</x:v>
      </x:c>
      <x:c r="D14" s="19" t="n">
        <x:v>8.5</x:v>
      </x:c>
      <x:c r="E14" s="21" t="n">
        <x:f>Premissas!$B$6</x:f>
        <x:v>330</x:v>
      </x:c>
      <x:c r="F14" s="19" t="n">
        <x:f>XLOOKUP(A14,Lotes!$A$4:$A$8,Lotes!$B$4:$B$8,0)</x:f>
        <x:v>17</x:v>
      </x:c>
      <x:c r="G14" s="23" t="n">
        <x:f>XLOOKUP(A14,Lotes!$A$4:$A$8,Lotes!$C$4:$C$8,0)</x:f>
        <x:v>8.5</x:v>
      </x:c>
      <x:c r="H14" s="23" t="n">
        <x:f>G14*Premissas!$B$5/Premissas!$B$4</x:f>
        <x:v>231.8181818181818</x:v>
      </x:c>
      <x:c r="I14" s="23" t="n">
        <x:f>D14*Premissas!$B$5/Premissas!$B$4</x:f>
        <x:v>231.8181818181818</x:v>
      </x:c>
      <x:c r="J14" s="23" t="n">
        <x:f>MAX(0,I14-H14)</x:f>
        <x:v>0</x:v>
      </x:c>
      <x:c r="K14" s="23" t="n">
        <x:f>SUMIFS('Cenários de GMD'!$C$4:$C$19,'Cenários de GMD'!$A$4:$A$19,B14,'Cenários de GMD'!$B$4:$B$19,C14)</x:f>
        <x:v>0.5</x:v>
      </x:c>
      <x:c r="L14" s="23" t="n">
        <x:f>IF(J14=0,0,J14/K14)</x:f>
        <x:v>0</x:v>
      </x:c>
      <x:c r="M14" s="23" t="n">
        <x:f>((H14+I14)/2)*SUMIFS('Cenários de GMD'!$D$4:$D$19,'Cenários de GMD'!$A$4:$A$19,B14,'Cenários de GMD'!$B$4:$B$19,C14)</x:f>
        <x:v>0.2318181818181818</x:v>
      </x:c>
      <x:c r="N14" s="23" t="n">
        <x:f>((H14+I14)/2)*SUMIFS('Cenários de GMD'!$E$4:$E$19,'Cenários de GMD'!$A$4:$A$19,B14,'Cenários de GMD'!$B$4:$B$19,C14)</x:f>
        <x:v>0</x:v>
      </x:c>
      <x:c r="O14" s="21" t="n">
        <x:f>M14*Insumos!$E$4+N14*Insumos!$E$5</x:f>
        <x:v>0.7038</x:v>
      </x:c>
      <x:c r="P14" s="21" t="n">
        <x:f>O14*Premissas!$B$7</x:f>
        <x:v>21.114</x:v>
      </x:c>
      <x:c r="Q14" s="21" t="n">
        <x:f>O14*L14</x:f>
        <x:v>0</x:v>
      </x:c>
      <x:c r="R14" s="21" t="n">
        <x:f>Premissas!$B$7*Premissas!$B$8*L14</x:f>
        <x:v>0</x:v>
      </x:c>
      <x:c r="S14" s="21" t="n">
        <x:f>D14*E14</x:f>
        <x:v>2805</x:v>
      </x:c>
      <x:c r="T14" s="21" t="n">
        <x:f>S14*F14</x:f>
        <x:v>47685</x:v>
      </x:c>
      <x:c r="U14" s="21" t="n">
        <x:f>S14-XLOOKUP(A14,Lotes!$A$4:$A$8,Lotes!$D$4:$D$8,Premissas!$B$9)-Q14-R14</x:f>
        <x:v>855</x:v>
      </x:c>
      <x:c r="V14" s="21" t="n">
        <x:f>U14*F14</x:f>
        <x:v>14535</x:v>
      </x:c>
      <x:c r="W14" s="20" t="n">
        <x:f>IF(S14=0,0,U14/S14)</x:f>
        <x:v>0.3048128342245989</x:v>
      </x:c>
      <x:c r="X14" s="21" t="n">
        <x:f>IF(D14-G14&lt;=0,0,Q14/(D14-G14))</x:f>
        <x:v>0</x:v>
      </x:c>
      <x:c r="Y14" s="20" t="n">
        <x:f>IFERROR(U14/(XLOOKUP(A14,Lotes!$A$4:$A$8,Lotes!$D$4:$D$8,Premissas!$B$9)+Q14+R14),0)</x:f>
        <x:v>0.43846153846153846</x:v>
      </x:c>
      <x:c r="Z14" s="20" t="n">
        <x:f>IF(L14=0,Y14,Y14/MAX(1,L14/Premissas!$B$7))</x:f>
        <x:v>0.43846153846153846</x:v>
      </x:c>
      <x:c r="AA14" s="19" t="str">
        <x:f>IF(L14=0,"Venda imediata",IF(L14&lt;=60,"Baixo",IF(L14&lt;=120,"Médio","Alto")))</x:f>
        <x:v>Venda imediata</x:v>
      </x:c>
      <x:c r="AB14" s="19" t="str">
        <x:f>IF(U14&lt;0,"Não fazer",IF(AA14="Alto","Risco seca",IF(Z14&gt;=0.03,"Bom giro","Margem ok")))</x:f>
        <x:v>Bom giro</x:v>
      </x:c>
    </x:row>
    <x:row r="15">
      <x:c r="A15" s="19" t="str">
        <x:v>Lote maior - base 8,5@</x:v>
      </x:c>
      <x:c r="B15" s="19" t="str">
        <x:v>Somente Fortis</x:v>
      </x:c>
      <x:c r="C15" s="19" t="str">
        <x:v>Pasto bom</x:v>
      </x:c>
      <x:c r="D15" s="19" t="n">
        <x:v>9</x:v>
      </x:c>
      <x:c r="E15" s="21" t="n">
        <x:f>Premissas!$B$6</x:f>
        <x:v>330</x:v>
      </x:c>
      <x:c r="F15" s="19" t="n">
        <x:f>XLOOKUP(A15,Lotes!$A$4:$A$8,Lotes!$B$4:$B$8,0)</x:f>
        <x:v>17</x:v>
      </x:c>
      <x:c r="G15" s="23" t="n">
        <x:f>XLOOKUP(A15,Lotes!$A$4:$A$8,Lotes!$C$4:$C$8,0)</x:f>
        <x:v>8.5</x:v>
      </x:c>
      <x:c r="H15" s="23" t="n">
        <x:f>G15*Premissas!$B$5/Premissas!$B$4</x:f>
        <x:v>231.8181818181818</x:v>
      </x:c>
      <x:c r="I15" s="23" t="n">
        <x:f>D15*Premissas!$B$5/Premissas!$B$4</x:f>
        <x:v>245.45454545454544</x:v>
      </x:c>
      <x:c r="J15" s="23" t="n">
        <x:f>MAX(0,I15-H15)</x:f>
        <x:v>13.636363636363626</x:v>
      </x:c>
      <x:c r="K15" s="23" t="n">
        <x:f>SUMIFS('Cenários de GMD'!$C$4:$C$19,'Cenários de GMD'!$A$4:$A$19,B15,'Cenários de GMD'!$B$4:$B$19,C15)</x:f>
        <x:v>0.5</x:v>
      </x:c>
      <x:c r="L15" s="23" t="n">
        <x:f>IF(J15=0,0,J15/K15)</x:f>
        <x:v>27.272727272727252</x:v>
      </x:c>
      <x:c r="M15" s="23" t="n">
        <x:f>((H15+I15)/2)*SUMIFS('Cenários de GMD'!$D$4:$D$19,'Cenários de GMD'!$A$4:$A$19,B15,'Cenários de GMD'!$B$4:$B$19,C15)</x:f>
        <x:v>0.23863636363636362</x:v>
      </x:c>
      <x:c r="N15" s="23" t="n">
        <x:f>((H15+I15)/2)*SUMIFS('Cenários de GMD'!$E$4:$E$19,'Cenários de GMD'!$A$4:$A$19,B15,'Cenários de GMD'!$B$4:$B$19,C15)</x:f>
        <x:v>0</x:v>
      </x:c>
      <x:c r="O15" s="21" t="n">
        <x:f>M15*Insumos!$E$4+N15*Insumos!$E$5</x:f>
        <x:v>0.7244999999999999</x:v>
      </x:c>
      <x:c r="P15" s="21" t="n">
        <x:f>O15*Premissas!$B$7</x:f>
        <x:v>21.735</x:v>
      </x:c>
      <x:c r="Q15" s="21" t="n">
        <x:f>O15*L15</x:f>
        <x:v>19.759090909090894</x:v>
      </x:c>
      <x:c r="R15" s="21" t="n">
        <x:f>Premissas!$B$7*Premissas!$B$8*L15</x:f>
        <x:v>0</x:v>
      </x:c>
      <x:c r="S15" s="21" t="n">
        <x:f>D15*E15</x:f>
        <x:v>2970</x:v>
      </x:c>
      <x:c r="T15" s="21" t="n">
        <x:f>S15*F15</x:f>
        <x:v>50490</x:v>
      </x:c>
      <x:c r="U15" s="21" t="n">
        <x:f>S15-XLOOKUP(A15,Lotes!$A$4:$A$8,Lotes!$D$4:$D$8,Premissas!$B$9)-Q15-R15</x:f>
        <x:v>1000.2409090909091</x:v>
      </x:c>
      <x:c r="V15" s="21" t="n">
        <x:f>U15*F15</x:f>
        <x:v>17004.095454545455</x:v>
      </x:c>
      <x:c r="W15" s="20" t="n">
        <x:f>IF(S15=0,0,U15/S15)</x:f>
        <x:v>0.33678145087235994</x:v>
      </x:c>
      <x:c r="X15" s="21" t="n">
        <x:f>IF(D15-G15&lt;=0,0,Q15/(D15-G15))</x:f>
        <x:v>39.51818181818179</x:v>
      </x:c>
      <x:c r="Y15" s="20" t="n">
        <x:f>IFERROR(U15/(XLOOKUP(A15,Lotes!$A$4:$A$8,Lotes!$D$4:$D$8,Premissas!$B$9)+Q15+R15),0)</x:f>
        <x:v>0.5077986001979937</x:v>
      </x:c>
      <x:c r="Z15" s="20" t="n">
        <x:f>IF(L15=0,Y15,Y15/MAX(1,L15/Premissas!$B$7))</x:f>
        <x:v>0.5077986001979937</x:v>
      </x:c>
      <x:c r="AA15" s="19" t="str">
        <x:f>IF(L15=0,"Venda imediata",IF(L15&lt;=60,"Baixo",IF(L15&lt;=120,"Médio","Alto")))</x:f>
        <x:v>Baixo</x:v>
      </x:c>
      <x:c r="AB15" s="19" t="str">
        <x:f>IF(U15&lt;0,"Não fazer",IF(AA15="Alto","Risco seca",IF(Z15&gt;=0.03,"Bom giro","Margem ok")))</x:f>
        <x:v>Bom giro</x:v>
      </x:c>
    </x:row>
    <x:row r="16">
      <x:c r="A16" s="19" t="str">
        <x:v>Lote maior - base 8,5@</x:v>
      </x:c>
      <x:c r="B16" s="19" t="str">
        <x:v>Somente Fortis</x:v>
      </x:c>
      <x:c r="C16" s="19" t="str">
        <x:v>Pasto bom</x:v>
      </x:c>
      <x:c r="D16" s="19" t="n">
        <x:v>10.5</x:v>
      </x:c>
      <x:c r="E16" s="21" t="n">
        <x:f>Premissas!$B$6</x:f>
        <x:v>330</x:v>
      </x:c>
      <x:c r="F16" s="19" t="n">
        <x:f>XLOOKUP(A16,Lotes!$A$4:$A$8,Lotes!$B$4:$B$8,0)</x:f>
        <x:v>17</x:v>
      </x:c>
      <x:c r="G16" s="23" t="n">
        <x:f>XLOOKUP(A16,Lotes!$A$4:$A$8,Lotes!$C$4:$C$8,0)</x:f>
        <x:v>8.5</x:v>
      </x:c>
      <x:c r="H16" s="23" t="n">
        <x:f>G16*Premissas!$B$5/Premissas!$B$4</x:f>
        <x:v>231.8181818181818</x:v>
      </x:c>
      <x:c r="I16" s="23" t="n">
        <x:f>D16*Premissas!$B$5/Premissas!$B$4</x:f>
        <x:v>286.3636363636363</x:v>
      </x:c>
      <x:c r="J16" s="23" t="n">
        <x:f>MAX(0,I16-H16)</x:f>
        <x:v>54.545454545454504</x:v>
      </x:c>
      <x:c r="K16" s="23" t="n">
        <x:f>SUMIFS('Cenários de GMD'!$C$4:$C$19,'Cenários de GMD'!$A$4:$A$19,B16,'Cenários de GMD'!$B$4:$B$19,C16)</x:f>
        <x:v>0.5</x:v>
      </x:c>
      <x:c r="L16" s="23" t="n">
        <x:f>IF(J16=0,0,J16/K16)</x:f>
        <x:v>109.09090909090901</x:v>
      </x:c>
      <x:c r="M16" s="23" t="n">
        <x:f>((H16+I16)/2)*SUMIFS('Cenários de GMD'!$D$4:$D$19,'Cenários de GMD'!$A$4:$A$19,B16,'Cenários de GMD'!$B$4:$B$19,C16)</x:f>
        <x:v>0.2590909090909091</x:v>
      </x:c>
      <x:c r="N16" s="23" t="n">
        <x:f>((H16+I16)/2)*SUMIFS('Cenários de GMD'!$E$4:$E$19,'Cenários de GMD'!$A$4:$A$19,B16,'Cenários de GMD'!$B$4:$B$19,C16)</x:f>
        <x:v>0</x:v>
      </x:c>
      <x:c r="O16" s="21" t="n">
        <x:f>M16*Insumos!$E$4+N16*Insumos!$E$5</x:f>
        <x:v>0.7866</x:v>
      </x:c>
      <x:c r="P16" s="21" t="n">
        <x:f>O16*Premissas!$B$7</x:f>
        <x:v>23.598</x:v>
      </x:c>
      <x:c r="Q16" s="21" t="n">
        <x:f>O16*L16</x:f>
        <x:v>85.81090909090902</x:v>
      </x:c>
      <x:c r="R16" s="21" t="n">
        <x:f>Premissas!$B$7*Premissas!$B$8*L16</x:f>
        <x:v>0</x:v>
      </x:c>
      <x:c r="S16" s="21" t="n">
        <x:f>D16*E16</x:f>
        <x:v>3465</x:v>
      </x:c>
      <x:c r="T16" s="21" t="n">
        <x:f>S16*F16</x:f>
        <x:v>58905</x:v>
      </x:c>
      <x:c r="U16" s="21" t="n">
        <x:f>S16-XLOOKUP(A16,Lotes!$A$4:$A$8,Lotes!$D$4:$D$8,Premissas!$B$9)-Q16-R16</x:f>
        <x:v>1429.189090909091</x:v>
      </x:c>
      <x:c r="V16" s="21" t="n">
        <x:f>U16*F16</x:f>
        <x:v>24296.214545454546</x:v>
      </x:c>
      <x:c r="W16" s="20" t="n">
        <x:f>IF(S16=0,0,U16/S16)</x:f>
        <x:v>0.41246438410074776</x:v>
      </x:c>
      <x:c r="X16" s="21" t="n">
        <x:f>IF(D16-G16&lt;=0,0,Q16/(D16-G16))</x:f>
        <x:v>42.90545454545451</x:v>
      </x:c>
      <x:c r="Y16" s="20" t="n">
        <x:f>IFERROR(U16/(XLOOKUP(A16,Lotes!$A$4:$A$8,Lotes!$D$4:$D$8,Premissas!$B$9)+Q16+R16),0)</x:f>
        <x:v>0.7020244780726198</x:v>
      </x:c>
      <x:c r="Z16" s="20" t="n">
        <x:f>IF(L16=0,Y16,Y16/MAX(1,L16/Premissas!$B$7))</x:f>
        <x:v>0.1930567314699706</x:v>
      </x:c>
      <x:c r="AA16" s="19" t="str">
        <x:f>IF(L16=0,"Venda imediata",IF(L16&lt;=60,"Baixo",IF(L16&lt;=120,"Médio","Alto")))</x:f>
        <x:v>Médio</x:v>
      </x:c>
      <x:c r="AB16" s="19" t="str">
        <x:f>IF(U16&lt;0,"Não fazer",IF(AA16="Alto","Risco seca",IF(Z16&gt;=0.03,"Bom giro","Margem ok")))</x:f>
        <x:v>Bom giro</x:v>
      </x:c>
    </x:row>
    <x:row r="17">
      <x:c r="A17" s="19" t="str">
        <x:v>Lote maior - base 8,5@</x:v>
      </x:c>
      <x:c r="B17" s="19" t="str">
        <x:v>Somente Fortis</x:v>
      </x:c>
      <x:c r="C17" s="19" t="str">
        <x:v>Pasto bom</x:v>
      </x:c>
      <x:c r="D17" s="19" t="n">
        <x:v>11</x:v>
      </x:c>
      <x:c r="E17" s="21" t="n">
        <x:f>Premissas!$B$6</x:f>
        <x:v>330</x:v>
      </x:c>
      <x:c r="F17" s="19" t="n">
        <x:f>XLOOKUP(A17,Lotes!$A$4:$A$8,Lotes!$B$4:$B$8,0)</x:f>
        <x:v>17</x:v>
      </x:c>
      <x:c r="G17" s="23" t="n">
        <x:f>XLOOKUP(A17,Lotes!$A$4:$A$8,Lotes!$C$4:$C$8,0)</x:f>
        <x:v>8.5</x:v>
      </x:c>
      <x:c r="H17" s="23" t="n">
        <x:f>G17*Premissas!$B$5/Premissas!$B$4</x:f>
        <x:v>231.8181818181818</x:v>
      </x:c>
      <x:c r="I17" s="23" t="n">
        <x:f>D17*Premissas!$B$5/Premissas!$B$4</x:f>
        <x:v>300</x:v>
      </x:c>
      <x:c r="J17" s="23" t="n">
        <x:f>MAX(0,I17-H17)</x:f>
        <x:v>68.18181818181819</x:v>
      </x:c>
      <x:c r="K17" s="23" t="n">
        <x:f>SUMIFS('Cenários de GMD'!$C$4:$C$19,'Cenários de GMD'!$A$4:$A$19,B17,'Cenários de GMD'!$B$4:$B$19,C17)</x:f>
        <x:v>0.5</x:v>
      </x:c>
      <x:c r="L17" s="23" t="n">
        <x:f>IF(J17=0,0,J17/K17)</x:f>
        <x:v>136.36363636363637</x:v>
      </x:c>
      <x:c r="M17" s="23" t="n">
        <x:f>((H17+I17)/2)*SUMIFS('Cenários de GMD'!$D$4:$D$19,'Cenários de GMD'!$A$4:$A$19,B17,'Cenários de GMD'!$B$4:$B$19,C17)</x:f>
        <x:v>0.2659090909090909</x:v>
      </x:c>
      <x:c r="N17" s="23" t="n">
        <x:f>((H17+I17)/2)*SUMIFS('Cenários de GMD'!$E$4:$E$19,'Cenários de GMD'!$A$4:$A$19,B17,'Cenários de GMD'!$B$4:$B$19,C17)</x:f>
        <x:v>0</x:v>
      </x:c>
      <x:c r="O17" s="21" t="n">
        <x:f>M17*Insumos!$E$4+N17*Insumos!$E$5</x:f>
        <x:v>0.8072999999999999</x:v>
      </x:c>
      <x:c r="P17" s="21" t="n">
        <x:f>O17*Premissas!$B$7</x:f>
        <x:v>24.218999999999998</x:v>
      </x:c>
      <x:c r="Q17" s="21" t="n">
        <x:f>O17*L17</x:f>
        <x:v>110.08636363636363</x:v>
      </x:c>
      <x:c r="R17" s="21" t="n">
        <x:f>Premissas!$B$7*Premissas!$B$8*L17</x:f>
        <x:v>0</x:v>
      </x:c>
      <x:c r="S17" s="21" t="n">
        <x:f>D17*E17</x:f>
        <x:v>3630</x:v>
      </x:c>
      <x:c r="T17" s="21" t="n">
        <x:f>S17*F17</x:f>
        <x:v>61710</x:v>
      </x:c>
      <x:c r="U17" s="21" t="n">
        <x:f>S17-XLOOKUP(A17,Lotes!$A$4:$A$8,Lotes!$D$4:$D$8,Premissas!$B$9)-Q17-R17</x:f>
        <x:v>1569.9136363636364</x:v>
      </x:c>
      <x:c r="V17" s="21" t="n">
        <x:f>U17*F17</x:f>
        <x:v>26688.53181818182</x:v>
      </x:c>
      <x:c r="W17" s="20" t="n">
        <x:f>IF(S17=0,0,U17/S17)</x:f>
        <x:v>0.4324830954169797</x:v>
      </x:c>
      <x:c r="X17" s="21" t="n">
        <x:f>IF(D17-G17&lt;=0,0,Q17/(D17-G17))</x:f>
        <x:v>44.03454545454545</x:v>
      </x:c>
      <x:c r="Y17" s="20" t="n">
        <x:f>IFERROR(U17/(XLOOKUP(A17,Lotes!$A$4:$A$8,Lotes!$D$4:$D$8,Premissas!$B$9)+Q17+R17),0)</x:f>
        <x:v>0.7620620494727715</x:v>
      </x:c>
      <x:c r="Z17" s="20" t="n">
        <x:f>IF(L17=0,Y17,Y17/MAX(1,L17/Premissas!$B$7))</x:f>
        <x:v>0.16765365088400971</x:v>
      </x:c>
      <x:c r="AA17" s="19" t="str">
        <x:f>IF(L17=0,"Venda imediata",IF(L17&lt;=60,"Baixo",IF(L17&lt;=120,"Médio","Alto")))</x:f>
        <x:v>Alto</x:v>
      </x:c>
      <x:c r="AB17" s="19" t="str">
        <x:f>IF(U17&lt;0,"Não fazer",IF(AA17="Alto","Risco seca",IF(Z17&gt;=0.03,"Bom giro","Margem ok")))</x:f>
        <x:v>Risco seca</x:v>
      </x:c>
    </x:row>
    <x:row r="18">
      <x:c r="A18" s="19" t="str">
        <x:v>Lote maior - base 8,5@</x:v>
      </x:c>
      <x:c r="B18" s="19" t="str">
        <x:v>Somente Fortis</x:v>
      </x:c>
      <x:c r="C18" s="19" t="str">
        <x:v>Pasto bom</x:v>
      </x:c>
      <x:c r="D18" s="19" t="n">
        <x:v>12</x:v>
      </x:c>
      <x:c r="E18" s="21" t="n">
        <x:f>Premissas!$B$6</x:f>
        <x:v>330</x:v>
      </x:c>
      <x:c r="F18" s="19" t="n">
        <x:f>XLOOKUP(A18,Lotes!$A$4:$A$8,Lotes!$B$4:$B$8,0)</x:f>
        <x:v>17</x:v>
      </x:c>
      <x:c r="G18" s="23" t="n">
        <x:f>XLOOKUP(A18,Lotes!$A$4:$A$8,Lotes!$C$4:$C$8,0)</x:f>
        <x:v>8.5</x:v>
      </x:c>
      <x:c r="H18" s="23" t="n">
        <x:f>G18*Premissas!$B$5/Premissas!$B$4</x:f>
        <x:v>231.8181818181818</x:v>
      </x:c>
      <x:c r="I18" s="23" t="n">
        <x:f>D18*Premissas!$B$5/Premissas!$B$4</x:f>
        <x:v>327.27272727272725</x:v>
      </x:c>
      <x:c r="J18" s="23" t="n">
        <x:f>MAX(0,I18-H18)</x:f>
        <x:v>95.45454545454544</x:v>
      </x:c>
      <x:c r="K18" s="23" t="n">
        <x:f>SUMIFS('Cenários de GMD'!$C$4:$C$19,'Cenários de GMD'!$A$4:$A$19,B18,'Cenários de GMD'!$B$4:$B$19,C18)</x:f>
        <x:v>0.5</x:v>
      </x:c>
      <x:c r="L18" s="23" t="n">
        <x:f>IF(J18=0,0,J18/K18)</x:f>
        <x:v>190.90909090909088</x:v>
      </x:c>
      <x:c r="M18" s="23" t="n">
        <x:f>((H18+I18)/2)*SUMIFS('Cenários de GMD'!$D$4:$D$19,'Cenários de GMD'!$A$4:$A$19,B18,'Cenários de GMD'!$B$4:$B$19,C18)</x:f>
        <x:v>0.2795454545454545</x:v>
      </x:c>
      <x:c r="N18" s="23" t="n">
        <x:f>((H18+I18)/2)*SUMIFS('Cenários de GMD'!$E$4:$E$19,'Cenários de GMD'!$A$4:$A$19,B18,'Cenários de GMD'!$B$4:$B$19,C18)</x:f>
        <x:v>0</x:v>
      </x:c>
      <x:c r="O18" s="21" t="n">
        <x:f>M18*Insumos!$E$4+N18*Insumos!$E$5</x:f>
        <x:v>0.8486999999999998</x:v>
      </x:c>
      <x:c r="P18" s="21" t="n">
        <x:f>O18*Premissas!$B$7</x:f>
        <x:v>25.460999999999995</x:v>
      </x:c>
      <x:c r="Q18" s="21" t="n">
        <x:f>O18*L18</x:f>
        <x:v>162.02454545454538</x:v>
      </x:c>
      <x:c r="R18" s="21" t="n">
        <x:f>Premissas!$B$7*Premissas!$B$8*L18</x:f>
        <x:v>0</x:v>
      </x:c>
      <x:c r="S18" s="21" t="n">
        <x:f>D18*E18</x:f>
        <x:v>3960</x:v>
      </x:c>
      <x:c r="T18" s="21" t="n">
        <x:f>S18*F18</x:f>
        <x:v>67320</x:v>
      </x:c>
      <x:c r="U18" s="21" t="n">
        <x:f>S18-XLOOKUP(A18,Lotes!$A$4:$A$8,Lotes!$D$4:$D$8,Premissas!$B$9)-Q18-R18</x:f>
        <x:v>1847.9754545454546</x:v>
      </x:c>
      <x:c r="V18" s="21" t="n">
        <x:f>U18*F18</x:f>
        <x:v>31415.58272727273</x:v>
      </x:c>
      <x:c r="W18" s="20" t="n">
        <x:f>IF(S18=0,0,U18/S18)</x:f>
        <x:v>0.4666604683195592</x:v>
      </x:c>
      <x:c r="X18" s="21" t="n">
        <x:f>IF(D18-G18&lt;=0,0,Q18/(D18-G18))</x:f>
        <x:v>46.29272727272725</x:v>
      </x:c>
      <x:c r="Y18" s="20" t="n">
        <x:f>IFERROR(U18/(XLOOKUP(A18,Lotes!$A$4:$A$8,Lotes!$D$4:$D$8,Premissas!$B$9)+Q18+R18),0)</x:f>
        <x:v>0.8749782091892012</x:v>
      </x:c>
      <x:c r="Z18" s="20" t="n">
        <x:f>IF(L18=0,Y18,Y18/MAX(1,L18/Premissas!$B$7))</x:f>
        <x:v>0.13749657572973165</x:v>
      </x:c>
      <x:c r="AA18" s="19" t="str">
        <x:f>IF(L18=0,"Venda imediata",IF(L18&lt;=60,"Baixo",IF(L18&lt;=120,"Médio","Alto")))</x:f>
        <x:v>Alto</x:v>
      </x:c>
      <x:c r="AB18" s="19" t="str">
        <x:f>IF(U18&lt;0,"Não fazer",IF(AA18="Alto","Risco seca",IF(Z18&gt;=0.03,"Bom giro","Margem ok")))</x:f>
        <x:v>Risco seca</x:v>
      </x:c>
    </x:row>
    <x:row r="19">
      <x:c r="A19" s="19" t="str">
        <x:v>Lote maior - base 8,5@</x:v>
      </x:c>
      <x:c r="B19" s="19" t="str">
        <x:v>Econômica</x:v>
      </x:c>
      <x:c r="C19" s="19" t="str">
        <x:v>Conservador</x:v>
      </x:c>
      <x:c r="D19" s="19" t="n">
        <x:v>8.5</x:v>
      </x:c>
      <x:c r="E19" s="21" t="n">
        <x:f>Premissas!$B$6</x:f>
        <x:v>330</x:v>
      </x:c>
      <x:c r="F19" s="19" t="n">
        <x:f>XLOOKUP(A19,Lotes!$A$4:$A$8,Lotes!$B$4:$B$8,0)</x:f>
        <x:v>17</x:v>
      </x:c>
      <x:c r="G19" s="23" t="n">
        <x:f>XLOOKUP(A19,Lotes!$A$4:$A$8,Lotes!$C$4:$C$8,0)</x:f>
        <x:v>8.5</x:v>
      </x:c>
      <x:c r="H19" s="23" t="n">
        <x:f>G19*Premissas!$B$5/Premissas!$B$4</x:f>
        <x:v>231.8181818181818</x:v>
      </x:c>
      <x:c r="I19" s="23" t="n">
        <x:f>D19*Premissas!$B$5/Premissas!$B$4</x:f>
        <x:v>231.8181818181818</x:v>
      </x:c>
      <x:c r="J19" s="23" t="n">
        <x:f>MAX(0,I19-H19)</x:f>
        <x:v>0</x:v>
      </x:c>
      <x:c r="K19" s="23" t="n">
        <x:f>SUMIFS('Cenários de GMD'!$C$4:$C$19,'Cenários de GMD'!$A$4:$A$19,B19,'Cenários de GMD'!$B$4:$B$19,C19)</x:f>
        <x:v>0.4</x:v>
      </x:c>
      <x:c r="L19" s="23" t="n">
        <x:f>IF(J19=0,0,J19/K19)</x:f>
        <x:v>0</x:v>
      </x:c>
      <x:c r="M19" s="23" t="n">
        <x:f>((H19+I19)/2)*SUMIFS('Cenários de GMD'!$D$4:$D$19,'Cenários de GMD'!$A$4:$A$19,B19,'Cenários de GMD'!$B$4:$B$19,C19)</x:f>
        <x:v>0.2318181818181818</x:v>
      </x:c>
      <x:c r="N19" s="23" t="n">
        <x:f>((H19+I19)/2)*SUMIFS('Cenários de GMD'!$E$4:$E$19,'Cenários de GMD'!$A$4:$A$19,B19,'Cenários de GMD'!$B$4:$B$19,C19)</x:f>
        <x:v>0.6954545454545454</x:v>
      </x:c>
      <x:c r="O19" s="21" t="n">
        <x:f>M19*Insumos!$E$4+N19*Insumos!$E$5</x:f>
        <x:v>2.0831181818181816</x:v>
      </x:c>
      <x:c r="P19" s="21" t="n">
        <x:f>O19*Premissas!$B$7</x:f>
        <x:v>62.49354545454545</x:v>
      </x:c>
      <x:c r="Q19" s="21" t="n">
        <x:f>O19*L19</x:f>
        <x:v>0</x:v>
      </x:c>
      <x:c r="R19" s="21" t="n">
        <x:f>Premissas!$B$7*Premissas!$B$8*L19</x:f>
        <x:v>0</x:v>
      </x:c>
      <x:c r="S19" s="21" t="n">
        <x:f>D19*E19</x:f>
        <x:v>2805</x:v>
      </x:c>
      <x:c r="T19" s="21" t="n">
        <x:f>S19*F19</x:f>
        <x:v>47685</x:v>
      </x:c>
      <x:c r="U19" s="21" t="n">
        <x:f>S19-XLOOKUP(A19,Lotes!$A$4:$A$8,Lotes!$D$4:$D$8,Premissas!$B$9)-Q19-R19</x:f>
        <x:v>855</x:v>
      </x:c>
      <x:c r="V19" s="21" t="n">
        <x:f>U19*F19</x:f>
        <x:v>14535</x:v>
      </x:c>
      <x:c r="W19" s="20" t="n">
        <x:f>IF(S19=0,0,U19/S19)</x:f>
        <x:v>0.3048128342245989</x:v>
      </x:c>
      <x:c r="X19" s="21" t="n">
        <x:f>IF(D19-G19&lt;=0,0,Q19/(D19-G19))</x:f>
        <x:v>0</x:v>
      </x:c>
      <x:c r="Y19" s="20" t="n">
        <x:f>IFERROR(U19/(XLOOKUP(A19,Lotes!$A$4:$A$8,Lotes!$D$4:$D$8,Premissas!$B$9)+Q19+R19),0)</x:f>
        <x:v>0.43846153846153846</x:v>
      </x:c>
      <x:c r="Z19" s="20" t="n">
        <x:f>IF(L19=0,Y19,Y19/MAX(1,L19/Premissas!$B$7))</x:f>
        <x:v>0.43846153846153846</x:v>
      </x:c>
      <x:c r="AA19" s="19" t="str">
        <x:f>IF(L19=0,"Venda imediata",IF(L19&lt;=60,"Baixo",IF(L19&lt;=120,"Médio","Alto")))</x:f>
        <x:v>Venda imediata</x:v>
      </x:c>
      <x:c r="AB19" s="19" t="str">
        <x:f>IF(U19&lt;0,"Não fazer",IF(AA19="Alto","Risco seca",IF(Z19&gt;=0.03,"Bom giro","Margem ok")))</x:f>
        <x:v>Bom giro</x:v>
      </x:c>
    </x:row>
    <x:row r="20">
      <x:c r="A20" s="19" t="str">
        <x:v>Lote maior - base 8,5@</x:v>
      </x:c>
      <x:c r="B20" s="19" t="str">
        <x:v>Econômica</x:v>
      </x:c>
      <x:c r="C20" s="19" t="str">
        <x:v>Conservador</x:v>
      </x:c>
      <x:c r="D20" s="19" t="n">
        <x:v>9</x:v>
      </x:c>
      <x:c r="E20" s="21" t="n">
        <x:f>Premissas!$B$6</x:f>
        <x:v>330</x:v>
      </x:c>
      <x:c r="F20" s="19" t="n">
        <x:f>XLOOKUP(A20,Lotes!$A$4:$A$8,Lotes!$B$4:$B$8,0)</x:f>
        <x:v>17</x:v>
      </x:c>
      <x:c r="G20" s="23" t="n">
        <x:f>XLOOKUP(A20,Lotes!$A$4:$A$8,Lotes!$C$4:$C$8,0)</x:f>
        <x:v>8.5</x:v>
      </x:c>
      <x:c r="H20" s="23" t="n">
        <x:f>G20*Premissas!$B$5/Premissas!$B$4</x:f>
        <x:v>231.8181818181818</x:v>
      </x:c>
      <x:c r="I20" s="23" t="n">
        <x:f>D20*Premissas!$B$5/Premissas!$B$4</x:f>
        <x:v>245.45454545454544</x:v>
      </x:c>
      <x:c r="J20" s="23" t="n">
        <x:f>MAX(0,I20-H20)</x:f>
        <x:v>13.636363636363626</x:v>
      </x:c>
      <x:c r="K20" s="23" t="n">
        <x:f>SUMIFS('Cenários de GMD'!$C$4:$C$19,'Cenários de GMD'!$A$4:$A$19,B20,'Cenários de GMD'!$B$4:$B$19,C20)</x:f>
        <x:v>0.4</x:v>
      </x:c>
      <x:c r="L20" s="23" t="n">
        <x:f>IF(J20=0,0,J20/K20)</x:f>
        <x:v>34.090909090909065</x:v>
      </x:c>
      <x:c r="M20" s="23" t="n">
        <x:f>((H20+I20)/2)*SUMIFS('Cenários de GMD'!$D$4:$D$19,'Cenários de GMD'!$A$4:$A$19,B20,'Cenários de GMD'!$B$4:$B$19,C20)</x:f>
        <x:v>0.23863636363636362</x:v>
      </x:c>
      <x:c r="N20" s="23" t="n">
        <x:f>((H20+I20)/2)*SUMIFS('Cenários de GMD'!$E$4:$E$19,'Cenários de GMD'!$A$4:$A$19,B20,'Cenários de GMD'!$B$4:$B$19,C20)</x:f>
        <x:v>0.7159090909090909</x:v>
      </x:c>
      <x:c r="O20" s="21" t="n">
        <x:f>M20*Insumos!$E$4+N20*Insumos!$E$5</x:f>
        <x:v>2.1443863636363636</x:v>
      </x:c>
      <x:c r="P20" s="21" t="n">
        <x:f>O20*Premissas!$B$7</x:f>
        <x:v>64.3315909090909</x:v>
      </x:c>
      <x:c r="Q20" s="21" t="n">
        <x:f>O20*L20</x:f>
        <x:v>73.10408057851234</x:v>
      </x:c>
      <x:c r="R20" s="21" t="n">
        <x:f>Premissas!$B$7*Premissas!$B$8*L20</x:f>
        <x:v>0</x:v>
      </x:c>
      <x:c r="S20" s="21" t="n">
        <x:f>D20*E20</x:f>
        <x:v>2970</x:v>
      </x:c>
      <x:c r="T20" s="21" t="n">
        <x:f>S20*F20</x:f>
        <x:v>50490</x:v>
      </x:c>
      <x:c r="U20" s="21" t="n">
        <x:f>S20-XLOOKUP(A20,Lotes!$A$4:$A$8,Lotes!$D$4:$D$8,Premissas!$B$9)-Q20-R20</x:f>
        <x:v>946.8959194214876</x:v>
      </x:c>
      <x:c r="V20" s="21" t="n">
        <x:f>U20*F20</x:f>
        <x:v>16097.23063016529</x:v>
      </x:c>
      <x:c r="W20" s="20" t="n">
        <x:f>IF(S20=0,0,U20/S20)</x:f>
        <x:v>0.3188201748893898</x:v>
      </x:c>
      <x:c r="X20" s="21" t="n">
        <x:f>IF(D20-G20&lt;=0,0,Q20/(D20-G20))</x:f>
        <x:v>146.20816115702468</x:v>
      </x:c>
      <x:c r="Y20" s="20" t="n">
        <x:f>IFERROR(U20/(XLOOKUP(A20,Lotes!$A$4:$A$8,Lotes!$D$4:$D$8,Premissas!$B$9)+Q20+R20),0)</x:f>
        <x:v>0.468041129723153</x:v>
      </x:c>
      <x:c r="Z20" s="20" t="n">
        <x:f>IF(L20=0,Y20,Y20/MAX(1,L20/Premissas!$B$7))</x:f>
        <x:v>0.4118761941563749</x:v>
      </x:c>
      <x:c r="AA20" s="19" t="str">
        <x:f>IF(L20=0,"Venda imediata",IF(L20&lt;=60,"Baixo",IF(L20&lt;=120,"Médio","Alto")))</x:f>
        <x:v>Baixo</x:v>
      </x:c>
      <x:c r="AB20" s="19" t="str">
        <x:f>IF(U20&lt;0,"Não fazer",IF(AA20="Alto","Risco seca",IF(Z20&gt;=0.03,"Bom giro","Margem ok")))</x:f>
        <x:v>Bom giro</x:v>
      </x:c>
    </x:row>
    <x:row r="21">
      <x:c r="A21" s="19" t="str">
        <x:v>Lote maior - base 8,5@</x:v>
      </x:c>
      <x:c r="B21" s="19" t="str">
        <x:v>Econômica</x:v>
      </x:c>
      <x:c r="C21" s="19" t="str">
        <x:v>Conservador</x:v>
      </x:c>
      <x:c r="D21" s="19" t="n">
        <x:v>10.5</x:v>
      </x:c>
      <x:c r="E21" s="21" t="n">
        <x:f>Premissas!$B$6</x:f>
        <x:v>330</x:v>
      </x:c>
      <x:c r="F21" s="19" t="n">
        <x:f>XLOOKUP(A21,Lotes!$A$4:$A$8,Lotes!$B$4:$B$8,0)</x:f>
        <x:v>17</x:v>
      </x:c>
      <x:c r="G21" s="23" t="n">
        <x:f>XLOOKUP(A21,Lotes!$A$4:$A$8,Lotes!$C$4:$C$8,0)</x:f>
        <x:v>8.5</x:v>
      </x:c>
      <x:c r="H21" s="23" t="n">
        <x:f>G21*Premissas!$B$5/Premissas!$B$4</x:f>
        <x:v>231.8181818181818</x:v>
      </x:c>
      <x:c r="I21" s="23" t="n">
        <x:f>D21*Premissas!$B$5/Premissas!$B$4</x:f>
        <x:v>286.3636363636363</x:v>
      </x:c>
      <x:c r="J21" s="23" t="n">
        <x:f>MAX(0,I21-H21)</x:f>
        <x:v>54.545454545454504</x:v>
      </x:c>
      <x:c r="K21" s="23" t="n">
        <x:f>SUMIFS('Cenários de GMD'!$C$4:$C$19,'Cenários de GMD'!$A$4:$A$19,B21,'Cenários de GMD'!$B$4:$B$19,C21)</x:f>
        <x:v>0.4</x:v>
      </x:c>
      <x:c r="L21" s="23" t="n">
        <x:f>IF(J21=0,0,J21/K21)</x:f>
        <x:v>136.36363636363626</x:v>
      </x:c>
      <x:c r="M21" s="23" t="n">
        <x:f>((H21+I21)/2)*SUMIFS('Cenários de GMD'!$D$4:$D$19,'Cenários de GMD'!$A$4:$A$19,B21,'Cenários de GMD'!$B$4:$B$19,C21)</x:f>
        <x:v>0.2590909090909091</x:v>
      </x:c>
      <x:c r="N21" s="23" t="n">
        <x:f>((H21+I21)/2)*SUMIFS('Cenários de GMD'!$E$4:$E$19,'Cenários de GMD'!$A$4:$A$19,B21,'Cenários de GMD'!$B$4:$B$19,C21)</x:f>
        <x:v>0.7772727272727272</x:v>
      </x:c>
      <x:c r="O21" s="21" t="n">
        <x:f>M21*Insumos!$E$4+N21*Insumos!$E$5</x:f>
        <x:v>2.328190909090909</x:v>
      </x:c>
      <x:c r="P21" s="21" t="n">
        <x:f>O21*Premissas!$B$7</x:f>
        <x:v>69.84572727272727</x:v>
      </x:c>
      <x:c r="Q21" s="21" t="n">
        <x:f>O21*L21</x:f>
        <x:v>317.48057851239645</x:v>
      </x:c>
      <x:c r="R21" s="21" t="n">
        <x:f>Premissas!$B$7*Premissas!$B$8*L21</x:f>
        <x:v>0</x:v>
      </x:c>
      <x:c r="S21" s="21" t="n">
        <x:f>D21*E21</x:f>
        <x:v>3465</x:v>
      </x:c>
      <x:c r="T21" s="21" t="n">
        <x:f>S21*F21</x:f>
        <x:v>58905</x:v>
      </x:c>
      <x:c r="U21" s="21" t="n">
        <x:f>S21-XLOOKUP(A21,Lotes!$A$4:$A$8,Lotes!$D$4:$D$8,Premissas!$B$9)-Q21-R21</x:f>
        <x:v>1197.5194214876035</x:v>
      </x:c>
      <x:c r="V21" s="21" t="n">
        <x:f>U21*F21</x:f>
        <x:v>20357.83016528926</x:v>
      </x:c>
      <x:c r="W21" s="20" t="n">
        <x:f>IF(S21=0,0,U21/S21)</x:f>
        <x:v>0.345604450645773</x:v>
      </x:c>
      <x:c r="X21" s="21" t="n">
        <x:f>IF(D21-G21&lt;=0,0,Q21/(D21-G21))</x:f>
        <x:v>158.74028925619822</x:v>
      </x:c>
      <x:c r="Y21" s="20" t="n">
        <x:f>IFERROR(U21/(XLOOKUP(A21,Lotes!$A$4:$A$8,Lotes!$D$4:$D$8,Premissas!$B$9)+Q21+R21),0)</x:f>
        <x:v>0.5281277523767142</x:v>
      </x:c>
      <x:c r="Z21" s="20" t="n">
        <x:f>IF(L21=0,Y21,Y21/MAX(1,L21/Premissas!$B$7))</x:f>
        <x:v>0.1161881055228772</x:v>
      </x:c>
      <x:c r="AA21" s="19" t="str">
        <x:f>IF(L21=0,"Venda imediata",IF(L21&lt;=60,"Baixo",IF(L21&lt;=120,"Médio","Alto")))</x:f>
        <x:v>Alto</x:v>
      </x:c>
      <x:c r="AB21" s="19" t="str">
        <x:f>IF(U21&lt;0,"Não fazer",IF(AA21="Alto","Risco seca",IF(Z21&gt;=0.03,"Bom giro","Margem ok")))</x:f>
        <x:v>Risco seca</x:v>
      </x:c>
    </x:row>
    <x:row r="22">
      <x:c r="A22" s="19" t="str">
        <x:v>Lote maior - base 8,5@</x:v>
      </x:c>
      <x:c r="B22" s="19" t="str">
        <x:v>Econômica</x:v>
      </x:c>
      <x:c r="C22" s="19" t="str">
        <x:v>Conservador</x:v>
      </x:c>
      <x:c r="D22" s="19" t="n">
        <x:v>11</x:v>
      </x:c>
      <x:c r="E22" s="21" t="n">
        <x:f>Premissas!$B$6</x:f>
        <x:v>330</x:v>
      </x:c>
      <x:c r="F22" s="19" t="n">
        <x:f>XLOOKUP(A22,Lotes!$A$4:$A$8,Lotes!$B$4:$B$8,0)</x:f>
        <x:v>17</x:v>
      </x:c>
      <x:c r="G22" s="23" t="n">
        <x:f>XLOOKUP(A22,Lotes!$A$4:$A$8,Lotes!$C$4:$C$8,0)</x:f>
        <x:v>8.5</x:v>
      </x:c>
      <x:c r="H22" s="23" t="n">
        <x:f>G22*Premissas!$B$5/Premissas!$B$4</x:f>
        <x:v>231.8181818181818</x:v>
      </x:c>
      <x:c r="I22" s="23" t="n">
        <x:f>D22*Premissas!$B$5/Premissas!$B$4</x:f>
        <x:v>300</x:v>
      </x:c>
      <x:c r="J22" s="23" t="n">
        <x:f>MAX(0,I22-H22)</x:f>
        <x:v>68.18181818181819</x:v>
      </x:c>
      <x:c r="K22" s="23" t="n">
        <x:f>SUMIFS('Cenários de GMD'!$C$4:$C$19,'Cenários de GMD'!$A$4:$A$19,B22,'Cenários de GMD'!$B$4:$B$19,C22)</x:f>
        <x:v>0.4</x:v>
      </x:c>
      <x:c r="L22" s="23" t="n">
        <x:f>IF(J22=0,0,J22/K22)</x:f>
        <x:v>170.45454545454547</x:v>
      </x:c>
      <x:c r="M22" s="23" t="n">
        <x:f>((H22+I22)/2)*SUMIFS('Cenários de GMD'!$D$4:$D$19,'Cenários de GMD'!$A$4:$A$19,B22,'Cenários de GMD'!$B$4:$B$19,C22)</x:f>
        <x:v>0.2659090909090909</x:v>
      </x:c>
      <x:c r="N22" s="23" t="n">
        <x:f>((H22+I22)/2)*SUMIFS('Cenários de GMD'!$E$4:$E$19,'Cenários de GMD'!$A$4:$A$19,B22,'Cenários de GMD'!$B$4:$B$19,C22)</x:f>
        <x:v>0.7977272727272726</x:v>
      </x:c>
      <x:c r="O22" s="21" t="n">
        <x:f>M22*Insumos!$E$4+N22*Insumos!$E$5</x:f>
        <x:v>2.3894590909090905</x:v>
      </x:c>
      <x:c r="P22" s="21" t="n">
        <x:f>O22*Premissas!$B$7</x:f>
        <x:v>71.68377272727271</x:v>
      </x:c>
      <x:c r="Q22" s="21" t="n">
        <x:f>O22*L22</x:f>
        <x:v>407.29416322314046</x:v>
      </x:c>
      <x:c r="R22" s="21" t="n">
        <x:f>Premissas!$B$7*Premissas!$B$8*L22</x:f>
        <x:v>0</x:v>
      </x:c>
      <x:c r="S22" s="21" t="n">
        <x:f>D22*E22</x:f>
        <x:v>3630</x:v>
      </x:c>
      <x:c r="T22" s="21" t="n">
        <x:f>S22*F22</x:f>
        <x:v>61710</x:v>
      </x:c>
      <x:c r="U22" s="21" t="n">
        <x:f>S22-XLOOKUP(A22,Lotes!$A$4:$A$8,Lotes!$D$4:$D$8,Premissas!$B$9)-Q22-R22</x:f>
        <x:v>1272.7058367768595</x:v>
      </x:c>
      <x:c r="V22" s="21" t="n">
        <x:f>U22*F22</x:f>
        <x:v>21635.99922520661</x:v>
      </x:c>
      <x:c r="W22" s="20" t="n">
        <x:f>IF(S22=0,0,U22/S22)</x:f>
        <x:v>0.3506076685335701</x:v>
      </x:c>
      <x:c r="X22" s="21" t="n">
        <x:f>IF(D22-G22&lt;=0,0,Q22/(D22-G22))</x:f>
        <x:v>162.91766528925618</x:v>
      </x:c>
      <x:c r="Y22" s="20" t="n">
        <x:f>IFERROR(U22/(XLOOKUP(A22,Lotes!$A$4:$A$8,Lotes!$D$4:$D$8,Premissas!$B$9)+Q22+R22),0)</x:f>
        <x:v>0.5399011530392466</x:v>
      </x:c>
      <x:c r="Z22" s="20" t="n">
        <x:f>IF(L22=0,Y22,Y22/MAX(1,L22/Premissas!$B$7))</x:f>
        <x:v>0.09502260293490739</x:v>
      </x:c>
      <x:c r="AA22" s="19" t="str">
        <x:f>IF(L22=0,"Venda imediata",IF(L22&lt;=60,"Baixo",IF(L22&lt;=120,"Médio","Alto")))</x:f>
        <x:v>Alto</x:v>
      </x:c>
      <x:c r="AB22" s="19" t="str">
        <x:f>IF(U22&lt;0,"Não fazer",IF(AA22="Alto","Risco seca",IF(Z22&gt;=0.03,"Bom giro","Margem ok")))</x:f>
        <x:v>Risco seca</x:v>
      </x:c>
    </x:row>
    <x:row r="23">
      <x:c r="A23" s="19" t="str">
        <x:v>Lote maior - base 8,5@</x:v>
      </x:c>
      <x:c r="B23" s="19" t="str">
        <x:v>Econômica</x:v>
      </x:c>
      <x:c r="C23" s="19" t="str">
        <x:v>Conservador</x:v>
      </x:c>
      <x:c r="D23" s="19" t="n">
        <x:v>12</x:v>
      </x:c>
      <x:c r="E23" s="21" t="n">
        <x:f>Premissas!$B$6</x:f>
        <x:v>330</x:v>
      </x:c>
      <x:c r="F23" s="19" t="n">
        <x:f>XLOOKUP(A23,Lotes!$A$4:$A$8,Lotes!$B$4:$B$8,0)</x:f>
        <x:v>17</x:v>
      </x:c>
      <x:c r="G23" s="23" t="n">
        <x:f>XLOOKUP(A23,Lotes!$A$4:$A$8,Lotes!$C$4:$C$8,0)</x:f>
        <x:v>8.5</x:v>
      </x:c>
      <x:c r="H23" s="23" t="n">
        <x:f>G23*Premissas!$B$5/Premissas!$B$4</x:f>
        <x:v>231.8181818181818</x:v>
      </x:c>
      <x:c r="I23" s="23" t="n">
        <x:f>D23*Premissas!$B$5/Premissas!$B$4</x:f>
        <x:v>327.27272727272725</x:v>
      </x:c>
      <x:c r="J23" s="23" t="n">
        <x:f>MAX(0,I23-H23)</x:f>
        <x:v>95.45454545454544</x:v>
      </x:c>
      <x:c r="K23" s="23" t="n">
        <x:f>SUMIFS('Cenários de GMD'!$C$4:$C$19,'Cenários de GMD'!$A$4:$A$19,B23,'Cenários de GMD'!$B$4:$B$19,C23)</x:f>
        <x:v>0.4</x:v>
      </x:c>
      <x:c r="L23" s="23" t="n">
        <x:f>IF(J23=0,0,J23/K23)</x:f>
        <x:v>238.6363636363636</x:v>
      </x:c>
      <x:c r="M23" s="23" t="n">
        <x:f>((H23+I23)/2)*SUMIFS('Cenários de GMD'!$D$4:$D$19,'Cenários de GMD'!$A$4:$A$19,B23,'Cenários de GMD'!$B$4:$B$19,C23)</x:f>
        <x:v>0.2795454545454545</x:v>
      </x:c>
      <x:c r="N23" s="23" t="n">
        <x:f>((H23+I23)/2)*SUMIFS('Cenários de GMD'!$E$4:$E$19,'Cenários de GMD'!$A$4:$A$19,B23,'Cenários de GMD'!$B$4:$B$19,C23)</x:f>
        <x:v>0.8386363636363635</x:v>
      </x:c>
      <x:c r="O23" s="21" t="n">
        <x:f>M23*Insumos!$E$4+N23*Insumos!$E$5</x:f>
        <x:v>2.5119954545454544</x:v>
      </x:c>
      <x:c r="P23" s="21" t="n">
        <x:f>O23*Premissas!$B$7</x:f>
        <x:v>75.35986363636363</x:v>
      </x:c>
      <x:c r="Q23" s="21" t="n">
        <x:f>O23*L23</x:f>
        <x:v>599.4534607438015</x:v>
      </x:c>
      <x:c r="R23" s="21" t="n">
        <x:f>Premissas!$B$7*Premissas!$B$8*L23</x:f>
        <x:v>0</x:v>
      </x:c>
      <x:c r="S23" s="21" t="n">
        <x:f>D23*E23</x:f>
        <x:v>3960</x:v>
      </x:c>
      <x:c r="T23" s="21" t="n">
        <x:f>S23*F23</x:f>
        <x:v>67320</x:v>
      </x:c>
      <x:c r="U23" s="21" t="n">
        <x:f>S23-XLOOKUP(A23,Lotes!$A$4:$A$8,Lotes!$D$4:$D$8,Premissas!$B$9)-Q23-R23</x:f>
        <x:v>1410.5465392561985</x:v>
      </x:c>
      <x:c r="V23" s="21" t="n">
        <x:f>U23*F23</x:f>
        <x:v>23979.291167355375</x:v>
      </x:c>
      <x:c r="W23" s="20" t="n">
        <x:f>IF(S23=0,0,U23/S23)</x:f>
        <x:v>0.35619862102429256</x:v>
      </x:c>
      <x:c r="X23" s="21" t="n">
        <x:f>IF(D23-G23&lt;=0,0,Q23/(D23-G23))</x:f>
        <x:v>171.27241735537186</x:v>
      </x:c>
      <x:c r="Y23" s="20" t="n">
        <x:f>IFERROR(U23/(XLOOKUP(A23,Lotes!$A$4:$A$8,Lotes!$D$4:$D$8,Premissas!$B$9)+Q23+R23),0)</x:f>
        <x:v>0.5532740883391816</x:v>
      </x:c>
      <x:c r="Z23" s="20" t="n">
        <x:f>IF(L23=0,Y23,Y23/MAX(1,L23/Premissas!$B$7))</x:f>
        <x:v>0.06955445681978284</x:v>
      </x:c>
      <x:c r="AA23" s="19" t="str">
        <x:f>IF(L23=0,"Venda imediata",IF(L23&lt;=60,"Baixo",IF(L23&lt;=120,"Médio","Alto")))</x:f>
        <x:v>Alto</x:v>
      </x:c>
      <x:c r="AB23" s="19" t="str">
        <x:f>IF(U23&lt;0,"Não fazer",IF(AA23="Alto","Risco seca",IF(Z23&gt;=0.03,"Bom giro","Margem ok")))</x:f>
        <x:v>Risco seca</x:v>
      </x:c>
    </x:row>
    <x:row r="24">
      <x:c r="A24" s="19" t="str">
        <x:v>Lote maior - base 8,5@</x:v>
      </x:c>
      <x:c r="B24" s="19" t="str">
        <x:v>Econômica</x:v>
      </x:c>
      <x:c r="C24" s="19" t="str">
        <x:v>Base</x:v>
      </x:c>
      <x:c r="D24" s="19" t="n">
        <x:v>8.5</x:v>
      </x:c>
      <x:c r="E24" s="21" t="n">
        <x:f>Premissas!$B$6</x:f>
        <x:v>330</x:v>
      </x:c>
      <x:c r="F24" s="19" t="n">
        <x:f>XLOOKUP(A24,Lotes!$A$4:$A$8,Lotes!$B$4:$B$8,0)</x:f>
        <x:v>17</x:v>
      </x:c>
      <x:c r="G24" s="23" t="n">
        <x:f>XLOOKUP(A24,Lotes!$A$4:$A$8,Lotes!$C$4:$C$8,0)</x:f>
        <x:v>8.5</x:v>
      </x:c>
      <x:c r="H24" s="23" t="n">
        <x:f>G24*Premissas!$B$5/Premissas!$B$4</x:f>
        <x:v>231.8181818181818</x:v>
      </x:c>
      <x:c r="I24" s="23" t="n">
        <x:f>D24*Premissas!$B$5/Premissas!$B$4</x:f>
        <x:v>231.8181818181818</x:v>
      </x:c>
      <x:c r="J24" s="23" t="n">
        <x:f>MAX(0,I24-H24)</x:f>
        <x:v>0</x:v>
      </x:c>
      <x:c r="K24" s="23" t="n">
        <x:f>SUMIFS('Cenários de GMD'!$C$4:$C$19,'Cenários de GMD'!$A$4:$A$19,B24,'Cenários de GMD'!$B$4:$B$19,C24)</x:f>
        <x:v>0.5</x:v>
      </x:c>
      <x:c r="L24" s="23" t="n">
        <x:f>IF(J24=0,0,J24/K24)</x:f>
        <x:v>0</x:v>
      </x:c>
      <x:c r="M24" s="23" t="n">
        <x:f>((H24+I24)/2)*SUMIFS('Cenários de GMD'!$D$4:$D$19,'Cenários de GMD'!$A$4:$A$19,B24,'Cenários de GMD'!$B$4:$B$19,C24)</x:f>
        <x:v>0.2318181818181818</x:v>
      </x:c>
      <x:c r="N24" s="23" t="n">
        <x:f>((H24+I24)/2)*SUMIFS('Cenários de GMD'!$E$4:$E$19,'Cenários de GMD'!$A$4:$A$19,B24,'Cenários de GMD'!$B$4:$B$19,C24)</x:f>
        <x:v>0.6954545454545454</x:v>
      </x:c>
      <x:c r="O24" s="21" t="n">
        <x:f>M24*Insumos!$E$4+N24*Insumos!$E$5</x:f>
        <x:v>2.0831181818181816</x:v>
      </x:c>
      <x:c r="P24" s="21" t="n">
        <x:f>O24*Premissas!$B$7</x:f>
        <x:v>62.49354545454545</x:v>
      </x:c>
      <x:c r="Q24" s="21" t="n">
        <x:f>O24*L24</x:f>
        <x:v>0</x:v>
      </x:c>
      <x:c r="R24" s="21" t="n">
        <x:f>Premissas!$B$7*Premissas!$B$8*L24</x:f>
        <x:v>0</x:v>
      </x:c>
      <x:c r="S24" s="21" t="n">
        <x:f>D24*E24</x:f>
        <x:v>2805</x:v>
      </x:c>
      <x:c r="T24" s="21" t="n">
        <x:f>S24*F24</x:f>
        <x:v>47685</x:v>
      </x:c>
      <x:c r="U24" s="21" t="n">
        <x:f>S24-XLOOKUP(A24,Lotes!$A$4:$A$8,Lotes!$D$4:$D$8,Premissas!$B$9)-Q24-R24</x:f>
        <x:v>855</x:v>
      </x:c>
      <x:c r="V24" s="21" t="n">
        <x:f>U24*F24</x:f>
        <x:v>14535</x:v>
      </x:c>
      <x:c r="W24" s="20" t="n">
        <x:f>IF(S24=0,0,U24/S24)</x:f>
        <x:v>0.3048128342245989</x:v>
      </x:c>
      <x:c r="X24" s="21" t="n">
        <x:f>IF(D24-G24&lt;=0,0,Q24/(D24-G24))</x:f>
        <x:v>0</x:v>
      </x:c>
      <x:c r="Y24" s="20" t="n">
        <x:f>IFERROR(U24/(XLOOKUP(A24,Lotes!$A$4:$A$8,Lotes!$D$4:$D$8,Premissas!$B$9)+Q24+R24),0)</x:f>
        <x:v>0.43846153846153846</x:v>
      </x:c>
      <x:c r="Z24" s="20" t="n">
        <x:f>IF(L24=0,Y24,Y24/MAX(1,L24/Premissas!$B$7))</x:f>
        <x:v>0.43846153846153846</x:v>
      </x:c>
      <x:c r="AA24" s="19" t="str">
        <x:f>IF(L24=0,"Venda imediata",IF(L24&lt;=60,"Baixo",IF(L24&lt;=120,"Médio","Alto")))</x:f>
        <x:v>Venda imediata</x:v>
      </x:c>
      <x:c r="AB24" s="19" t="str">
        <x:f>IF(U24&lt;0,"Não fazer",IF(AA24="Alto","Risco seca",IF(Z24&gt;=0.03,"Bom giro","Margem ok")))</x:f>
        <x:v>Bom giro</x:v>
      </x:c>
    </x:row>
    <x:row r="25">
      <x:c r="A25" s="19" t="str">
        <x:v>Lote maior - base 8,5@</x:v>
      </x:c>
      <x:c r="B25" s="19" t="str">
        <x:v>Econômica</x:v>
      </x:c>
      <x:c r="C25" s="19" t="str">
        <x:v>Base</x:v>
      </x:c>
      <x:c r="D25" s="19" t="n">
        <x:v>9</x:v>
      </x:c>
      <x:c r="E25" s="21" t="n">
        <x:f>Premissas!$B$6</x:f>
        <x:v>330</x:v>
      </x:c>
      <x:c r="F25" s="19" t="n">
        <x:f>XLOOKUP(A25,Lotes!$A$4:$A$8,Lotes!$B$4:$B$8,0)</x:f>
        <x:v>17</x:v>
      </x:c>
      <x:c r="G25" s="23" t="n">
        <x:f>XLOOKUP(A25,Lotes!$A$4:$A$8,Lotes!$C$4:$C$8,0)</x:f>
        <x:v>8.5</x:v>
      </x:c>
      <x:c r="H25" s="23" t="n">
        <x:f>G25*Premissas!$B$5/Premissas!$B$4</x:f>
        <x:v>231.8181818181818</x:v>
      </x:c>
      <x:c r="I25" s="23" t="n">
        <x:f>D25*Premissas!$B$5/Premissas!$B$4</x:f>
        <x:v>245.45454545454544</x:v>
      </x:c>
      <x:c r="J25" s="23" t="n">
        <x:f>MAX(0,I25-H25)</x:f>
        <x:v>13.636363636363626</x:v>
      </x:c>
      <x:c r="K25" s="23" t="n">
        <x:f>SUMIFS('Cenários de GMD'!$C$4:$C$19,'Cenários de GMD'!$A$4:$A$19,B25,'Cenários de GMD'!$B$4:$B$19,C25)</x:f>
        <x:v>0.5</x:v>
      </x:c>
      <x:c r="L25" s="23" t="n">
        <x:f>IF(J25=0,0,J25/K25)</x:f>
        <x:v>27.272727272727252</x:v>
      </x:c>
      <x:c r="M25" s="23" t="n">
        <x:f>((H25+I25)/2)*SUMIFS('Cenários de GMD'!$D$4:$D$19,'Cenários de GMD'!$A$4:$A$19,B25,'Cenários de GMD'!$B$4:$B$19,C25)</x:f>
        <x:v>0.23863636363636362</x:v>
      </x:c>
      <x:c r="N25" s="23" t="n">
        <x:f>((H25+I25)/2)*SUMIFS('Cenários de GMD'!$E$4:$E$19,'Cenários de GMD'!$A$4:$A$19,B25,'Cenários de GMD'!$B$4:$B$19,C25)</x:f>
        <x:v>0.7159090909090909</x:v>
      </x:c>
      <x:c r="O25" s="21" t="n">
        <x:f>M25*Insumos!$E$4+N25*Insumos!$E$5</x:f>
        <x:v>2.1443863636363636</x:v>
      </x:c>
      <x:c r="P25" s="21" t="n">
        <x:f>O25*Premissas!$B$7</x:f>
        <x:v>64.3315909090909</x:v>
      </x:c>
      <x:c r="Q25" s="21" t="n">
        <x:f>O25*L25</x:f>
        <x:v>58.48326446280987</x:v>
      </x:c>
      <x:c r="R25" s="21" t="n">
        <x:f>Premissas!$B$7*Premissas!$B$8*L25</x:f>
        <x:v>0</x:v>
      </x:c>
      <x:c r="S25" s="21" t="n">
        <x:f>D25*E25</x:f>
        <x:v>2970</x:v>
      </x:c>
      <x:c r="T25" s="21" t="n">
        <x:f>S25*F25</x:f>
        <x:v>50490</x:v>
      </x:c>
      <x:c r="U25" s="21" t="n">
        <x:f>S25-XLOOKUP(A25,Lotes!$A$4:$A$8,Lotes!$D$4:$D$8,Premissas!$B$9)-Q25-R25</x:f>
        <x:v>961.5167355371901</x:v>
      </x:c>
      <x:c r="V25" s="21" t="n">
        <x:f>U25*F25</x:f>
        <x:v>16345.784504132233</x:v>
      </x:c>
      <x:c r="W25" s="20" t="n">
        <x:f>IF(S25=0,0,U25/S25)</x:f>
        <x:v>0.3237430085983805</x:v>
      </x:c>
      <x:c r="X25" s="21" t="n">
        <x:f>IF(D25-G25&lt;=0,0,Q25/(D25-G25))</x:f>
        <x:v>116.96652892561974</x:v>
      </x:c>
      <x:c r="Y25" s="20" t="n">
        <x:f>IFERROR(U25/(XLOOKUP(A25,Lotes!$A$4:$A$8,Lotes!$D$4:$D$8,Premissas!$B$9)+Q25+R25),0)</x:f>
        <x:v>0.4787277805843993</x:v>
      </x:c>
      <x:c r="Z25" s="20" t="n">
        <x:f>IF(L25=0,Y25,Y25/MAX(1,L25/Premissas!$B$7))</x:f>
        <x:v>0.4787277805843993</x:v>
      </x:c>
      <x:c r="AA25" s="19" t="str">
        <x:f>IF(L25=0,"Venda imediata",IF(L25&lt;=60,"Baixo",IF(L25&lt;=120,"Médio","Alto")))</x:f>
        <x:v>Baixo</x:v>
      </x:c>
      <x:c r="AB25" s="19" t="str">
        <x:f>IF(U25&lt;0,"Não fazer",IF(AA25="Alto","Risco seca",IF(Z25&gt;=0.03,"Bom giro","Margem ok")))</x:f>
        <x:v>Bom giro</x:v>
      </x:c>
    </x:row>
    <x:row r="26">
      <x:c r="A26" s="19" t="str">
        <x:v>Lote maior - base 8,5@</x:v>
      </x:c>
      <x:c r="B26" s="19" t="str">
        <x:v>Econômica</x:v>
      </x:c>
      <x:c r="C26" s="19" t="str">
        <x:v>Base</x:v>
      </x:c>
      <x:c r="D26" s="19" t="n">
        <x:v>10.5</x:v>
      </x:c>
      <x:c r="E26" s="21" t="n">
        <x:f>Premissas!$B$6</x:f>
        <x:v>330</x:v>
      </x:c>
      <x:c r="F26" s="19" t="n">
        <x:f>XLOOKUP(A26,Lotes!$A$4:$A$8,Lotes!$B$4:$B$8,0)</x:f>
        <x:v>17</x:v>
      </x:c>
      <x:c r="G26" s="23" t="n">
        <x:f>XLOOKUP(A26,Lotes!$A$4:$A$8,Lotes!$C$4:$C$8,0)</x:f>
        <x:v>8.5</x:v>
      </x:c>
      <x:c r="H26" s="23" t="n">
        <x:f>G26*Premissas!$B$5/Premissas!$B$4</x:f>
        <x:v>231.8181818181818</x:v>
      </x:c>
      <x:c r="I26" s="23" t="n">
        <x:f>D26*Premissas!$B$5/Premissas!$B$4</x:f>
        <x:v>286.3636363636363</x:v>
      </x:c>
      <x:c r="J26" s="23" t="n">
        <x:f>MAX(0,I26-H26)</x:f>
        <x:v>54.545454545454504</x:v>
      </x:c>
      <x:c r="K26" s="23" t="n">
        <x:f>SUMIFS('Cenários de GMD'!$C$4:$C$19,'Cenários de GMD'!$A$4:$A$19,B26,'Cenários de GMD'!$B$4:$B$19,C26)</x:f>
        <x:v>0.5</x:v>
      </x:c>
      <x:c r="L26" s="23" t="n">
        <x:f>IF(J26=0,0,J26/K26)</x:f>
        <x:v>109.09090909090901</x:v>
      </x:c>
      <x:c r="M26" s="23" t="n">
        <x:f>((H26+I26)/2)*SUMIFS('Cenários de GMD'!$D$4:$D$19,'Cenários de GMD'!$A$4:$A$19,B26,'Cenários de GMD'!$B$4:$B$19,C26)</x:f>
        <x:v>0.2590909090909091</x:v>
      </x:c>
      <x:c r="N26" s="23" t="n">
        <x:f>((H26+I26)/2)*SUMIFS('Cenários de GMD'!$E$4:$E$19,'Cenários de GMD'!$A$4:$A$19,B26,'Cenários de GMD'!$B$4:$B$19,C26)</x:f>
        <x:v>0.7772727272727272</x:v>
      </x:c>
      <x:c r="O26" s="21" t="n">
        <x:f>M26*Insumos!$E$4+N26*Insumos!$E$5</x:f>
        <x:v>2.328190909090909</x:v>
      </x:c>
      <x:c r="P26" s="21" t="n">
        <x:f>O26*Premissas!$B$7</x:f>
        <x:v>69.84572727272727</x:v>
      </x:c>
      <x:c r="Q26" s="21" t="n">
        <x:f>O26*L26</x:f>
        <x:v>253.98446280991715</x:v>
      </x:c>
      <x:c r="R26" s="21" t="n">
        <x:f>Premissas!$B$7*Premissas!$B$8*L26</x:f>
        <x:v>0</x:v>
      </x:c>
      <x:c r="S26" s="21" t="n">
        <x:f>D26*E26</x:f>
        <x:v>3465</x:v>
      </x:c>
      <x:c r="T26" s="21" t="n">
        <x:f>S26*F26</x:f>
        <x:v>58905</x:v>
      </x:c>
      <x:c r="U26" s="21" t="n">
        <x:f>S26-XLOOKUP(A26,Lotes!$A$4:$A$8,Lotes!$D$4:$D$8,Premissas!$B$9)-Q26-R26</x:f>
        <x:v>1261.0155371900828</x:v>
      </x:c>
      <x:c r="V26" s="21" t="n">
        <x:f>U26*F26</x:f>
        <x:v>21437.26413223141</x:v>
      </x:c>
      <x:c r="W26" s="20" t="n">
        <x:f>IF(S26=0,0,U26/S26)</x:f>
        <x:v>0.36392944796250587</x:v>
      </x:c>
      <x:c r="X26" s="21" t="n">
        <x:f>IF(D26-G26&lt;=0,0,Q26/(D26-G26))</x:f>
        <x:v>126.99223140495857</x:v>
      </x:c>
      <x:c r="Y26" s="20" t="n">
        <x:f>IFERROR(U26/(XLOOKUP(A26,Lotes!$A$4:$A$8,Lotes!$D$4:$D$8,Premissas!$B$9)+Q26+R26),0)</x:f>
        <x:v>0.5721526437542945</x:v>
      </x:c>
      <x:c r="Z26" s="20" t="n">
        <x:f>IF(L26=0,Y26,Y26/MAX(1,L26/Premissas!$B$7))</x:f>
        <x:v>0.1573419770324311</x:v>
      </x:c>
      <x:c r="AA26" s="19" t="str">
        <x:f>IF(L26=0,"Venda imediata",IF(L26&lt;=60,"Baixo",IF(L26&lt;=120,"Médio","Alto")))</x:f>
        <x:v>Médio</x:v>
      </x:c>
      <x:c r="AB26" s="19" t="str">
        <x:f>IF(U26&lt;0,"Não fazer",IF(AA26="Alto","Risco seca",IF(Z26&gt;=0.03,"Bom giro","Margem ok")))</x:f>
        <x:v>Bom giro</x:v>
      </x:c>
    </x:row>
    <x:row r="27">
      <x:c r="A27" s="19" t="str">
        <x:v>Lote maior - base 8,5@</x:v>
      </x:c>
      <x:c r="B27" s="19" t="str">
        <x:v>Econômica</x:v>
      </x:c>
      <x:c r="C27" s="19" t="str">
        <x:v>Base</x:v>
      </x:c>
      <x:c r="D27" s="19" t="n">
        <x:v>11</x:v>
      </x:c>
      <x:c r="E27" s="21" t="n">
        <x:f>Premissas!$B$6</x:f>
        <x:v>330</x:v>
      </x:c>
      <x:c r="F27" s="19" t="n">
        <x:f>XLOOKUP(A27,Lotes!$A$4:$A$8,Lotes!$B$4:$B$8,0)</x:f>
        <x:v>17</x:v>
      </x:c>
      <x:c r="G27" s="23" t="n">
        <x:f>XLOOKUP(A27,Lotes!$A$4:$A$8,Lotes!$C$4:$C$8,0)</x:f>
        <x:v>8.5</x:v>
      </x:c>
      <x:c r="H27" s="23" t="n">
        <x:f>G27*Premissas!$B$5/Premissas!$B$4</x:f>
        <x:v>231.8181818181818</x:v>
      </x:c>
      <x:c r="I27" s="23" t="n">
        <x:f>D27*Premissas!$B$5/Premissas!$B$4</x:f>
        <x:v>300</x:v>
      </x:c>
      <x:c r="J27" s="23" t="n">
        <x:f>MAX(0,I27-H27)</x:f>
        <x:v>68.18181818181819</x:v>
      </x:c>
      <x:c r="K27" s="23" t="n">
        <x:f>SUMIFS('Cenários de GMD'!$C$4:$C$19,'Cenários de GMD'!$A$4:$A$19,B27,'Cenários de GMD'!$B$4:$B$19,C27)</x:f>
        <x:v>0.5</x:v>
      </x:c>
      <x:c r="L27" s="23" t="n">
        <x:f>IF(J27=0,0,J27/K27)</x:f>
        <x:v>136.36363636363637</x:v>
      </x:c>
      <x:c r="M27" s="23" t="n">
        <x:f>((H27+I27)/2)*SUMIFS('Cenários de GMD'!$D$4:$D$19,'Cenários de GMD'!$A$4:$A$19,B27,'Cenários de GMD'!$B$4:$B$19,C27)</x:f>
        <x:v>0.2659090909090909</x:v>
      </x:c>
      <x:c r="N27" s="23" t="n">
        <x:f>((H27+I27)/2)*SUMIFS('Cenários de GMD'!$E$4:$E$19,'Cenários de GMD'!$A$4:$A$19,B27,'Cenários de GMD'!$B$4:$B$19,C27)</x:f>
        <x:v>0.7977272727272726</x:v>
      </x:c>
      <x:c r="O27" s="21" t="n">
        <x:f>M27*Insumos!$E$4+N27*Insumos!$E$5</x:f>
        <x:v>2.3894590909090905</x:v>
      </x:c>
      <x:c r="P27" s="21" t="n">
        <x:f>O27*Premissas!$B$7</x:f>
        <x:v>71.68377272727271</x:v>
      </x:c>
      <x:c r="Q27" s="21" t="n">
        <x:f>O27*L27</x:f>
        <x:v>325.83533057851236</x:v>
      </x:c>
      <x:c r="R27" s="21" t="n">
        <x:f>Premissas!$B$7*Premissas!$B$8*L27</x:f>
        <x:v>0</x:v>
      </x:c>
      <x:c r="S27" s="21" t="n">
        <x:f>D27*E27</x:f>
        <x:v>3630</x:v>
      </x:c>
      <x:c r="T27" s="21" t="n">
        <x:f>S27*F27</x:f>
        <x:v>61710</x:v>
      </x:c>
      <x:c r="U27" s="21" t="n">
        <x:f>S27-XLOOKUP(A27,Lotes!$A$4:$A$8,Lotes!$D$4:$D$8,Premissas!$B$9)-Q27-R27</x:f>
        <x:v>1354.1646694214876</x:v>
      </x:c>
      <x:c r="V27" s="21" t="n">
        <x:f>U27*F27</x:f>
        <x:v>23020.79938016529</x:v>
      </x:c>
      <x:c r="W27" s="20" t="n">
        <x:f>IF(S27=0,0,U27/S27)</x:f>
        <x:v>0.37304811829793044</x:v>
      </x:c>
      <x:c r="X27" s="21" t="n">
        <x:f>IF(D27-G27&lt;=0,0,Q27/(D27-G27))</x:f>
        <x:v>130.33413223140494</x:v>
      </x:c>
      <x:c r="Y27" s="20" t="n">
        <x:f>IFERROR(U27/(XLOOKUP(A27,Lotes!$A$4:$A$8,Lotes!$D$4:$D$8,Premissas!$B$9)+Q27+R27),0)</x:f>
        <x:v>0.5950187393730556</x:v>
      </x:c>
      <x:c r="Z27" s="20" t="n">
        <x:f>IF(L27=0,Y27,Y27/MAX(1,L27/Premissas!$B$7))</x:f>
        <x:v>0.13090412266207221</x:v>
      </x:c>
      <x:c r="AA27" s="19" t="str">
        <x:f>IF(L27=0,"Venda imediata",IF(L27&lt;=60,"Baixo",IF(L27&lt;=120,"Médio","Alto")))</x:f>
        <x:v>Alto</x:v>
      </x:c>
      <x:c r="AB27" s="19" t="str">
        <x:f>IF(U27&lt;0,"Não fazer",IF(AA27="Alto","Risco seca",IF(Z27&gt;=0.03,"Bom giro","Margem ok")))</x:f>
        <x:v>Risco seca</x:v>
      </x:c>
    </x:row>
    <x:row r="28">
      <x:c r="A28" s="19" t="str">
        <x:v>Lote maior - base 8,5@</x:v>
      </x:c>
      <x:c r="B28" s="19" t="str">
        <x:v>Econômica</x:v>
      </x:c>
      <x:c r="C28" s="19" t="str">
        <x:v>Base</x:v>
      </x:c>
      <x:c r="D28" s="19" t="n">
        <x:v>12</x:v>
      </x:c>
      <x:c r="E28" s="21" t="n">
        <x:f>Premissas!$B$6</x:f>
        <x:v>330</x:v>
      </x:c>
      <x:c r="F28" s="19" t="n">
        <x:f>XLOOKUP(A28,Lotes!$A$4:$A$8,Lotes!$B$4:$B$8,0)</x:f>
        <x:v>17</x:v>
      </x:c>
      <x:c r="G28" s="23" t="n">
        <x:f>XLOOKUP(A28,Lotes!$A$4:$A$8,Lotes!$C$4:$C$8,0)</x:f>
        <x:v>8.5</x:v>
      </x:c>
      <x:c r="H28" s="23" t="n">
        <x:f>G28*Premissas!$B$5/Premissas!$B$4</x:f>
        <x:v>231.8181818181818</x:v>
      </x:c>
      <x:c r="I28" s="23" t="n">
        <x:f>D28*Premissas!$B$5/Premissas!$B$4</x:f>
        <x:v>327.27272727272725</x:v>
      </x:c>
      <x:c r="J28" s="23" t="n">
        <x:f>MAX(0,I28-H28)</x:f>
        <x:v>95.45454545454544</x:v>
      </x:c>
      <x:c r="K28" s="23" t="n">
        <x:f>SUMIFS('Cenários de GMD'!$C$4:$C$19,'Cenários de GMD'!$A$4:$A$19,B28,'Cenários de GMD'!$B$4:$B$19,C28)</x:f>
        <x:v>0.5</x:v>
      </x:c>
      <x:c r="L28" s="23" t="n">
        <x:f>IF(J28=0,0,J28/K28)</x:f>
        <x:v>190.90909090909088</x:v>
      </x:c>
      <x:c r="M28" s="23" t="n">
        <x:f>((H28+I28)/2)*SUMIFS('Cenários de GMD'!$D$4:$D$19,'Cenários de GMD'!$A$4:$A$19,B28,'Cenários de GMD'!$B$4:$B$19,C28)</x:f>
        <x:v>0.2795454545454545</x:v>
      </x:c>
      <x:c r="N28" s="23" t="n">
        <x:f>((H28+I28)/2)*SUMIFS('Cenários de GMD'!$E$4:$E$19,'Cenários de GMD'!$A$4:$A$19,B28,'Cenários de GMD'!$B$4:$B$19,C28)</x:f>
        <x:v>0.8386363636363635</x:v>
      </x:c>
      <x:c r="O28" s="21" t="n">
        <x:f>M28*Insumos!$E$4+N28*Insumos!$E$5</x:f>
        <x:v>2.5119954545454544</x:v>
      </x:c>
      <x:c r="P28" s="21" t="n">
        <x:f>O28*Premissas!$B$7</x:f>
        <x:v>75.35986363636363</x:v>
      </x:c>
      <x:c r="Q28" s="21" t="n">
        <x:f>O28*L28</x:f>
        <x:v>479.56276859504123</x:v>
      </x:c>
      <x:c r="R28" s="21" t="n">
        <x:f>Premissas!$B$7*Premissas!$B$8*L28</x:f>
        <x:v>0</x:v>
      </x:c>
      <x:c r="S28" s="21" t="n">
        <x:f>D28*E28</x:f>
        <x:v>3960</x:v>
      </x:c>
      <x:c r="T28" s="21" t="n">
        <x:f>S28*F28</x:f>
        <x:v>67320</x:v>
      </x:c>
      <x:c r="U28" s="21" t="n">
        <x:f>S28-XLOOKUP(A28,Lotes!$A$4:$A$8,Lotes!$D$4:$D$8,Premissas!$B$9)-Q28-R28</x:f>
        <x:v>1530.4372314049588</x:v>
      </x:c>
      <x:c r="V28" s="21" t="n">
        <x:f>U28*F28</x:f>
        <x:v>26017.432933884298</x:v>
      </x:c>
      <x:c r="W28" s="20" t="n">
        <x:f>IF(S28=0,0,U28/S28)</x:f>
        <x:v>0.38647404833458554</x:v>
      </x:c>
      <x:c r="X28" s="21" t="n">
        <x:f>IF(D28-G28&lt;=0,0,Q28/(D28-G28))</x:f>
        <x:v>137.0179338842975</x:v>
      </x:c>
      <x:c r="Y28" s="20" t="n">
        <x:f>IFERROR(U28/(XLOOKUP(A28,Lotes!$A$4:$A$8,Lotes!$D$4:$D$8,Premissas!$B$9)+Q28+R28),0)</x:f>
        <x:v>0.6299229026669578</x:v>
      </x:c>
      <x:c r="Z28" s="20" t="n">
        <x:f>IF(L28=0,Y28,Y28/MAX(1,L28/Premissas!$B$7))</x:f>
        <x:v>0.09898788470480768</x:v>
      </x:c>
      <x:c r="AA28" s="19" t="str">
        <x:f>IF(L28=0,"Venda imediata",IF(L28&lt;=60,"Baixo",IF(L28&lt;=120,"Médio","Alto")))</x:f>
        <x:v>Alto</x:v>
      </x:c>
      <x:c r="AB28" s="19" t="str">
        <x:f>IF(U28&lt;0,"Não fazer",IF(AA28="Alto","Risco seca",IF(Z28&gt;=0.03,"Bom giro","Margem ok")))</x:f>
        <x:v>Risco seca</x:v>
      </x:c>
    </x:row>
    <x:row r="29">
      <x:c r="A29" s="19" t="str">
        <x:v>Lote maior - base 8,5@</x:v>
      </x:c>
      <x:c r="B29" s="19" t="str">
        <x:v>Econômica</x:v>
      </x:c>
      <x:c r="C29" s="19" t="str">
        <x:v>Bom</x:v>
      </x:c>
      <x:c r="D29" s="19" t="n">
        <x:v>8.5</x:v>
      </x:c>
      <x:c r="E29" s="21" t="n">
        <x:f>Premissas!$B$6</x:f>
        <x:v>330</x:v>
      </x:c>
      <x:c r="F29" s="19" t="n">
        <x:f>XLOOKUP(A29,Lotes!$A$4:$A$8,Lotes!$B$4:$B$8,0)</x:f>
        <x:v>17</x:v>
      </x:c>
      <x:c r="G29" s="23" t="n">
        <x:f>XLOOKUP(A29,Lotes!$A$4:$A$8,Lotes!$C$4:$C$8,0)</x:f>
        <x:v>8.5</x:v>
      </x:c>
      <x:c r="H29" s="23" t="n">
        <x:f>G29*Premissas!$B$5/Premissas!$B$4</x:f>
        <x:v>231.8181818181818</x:v>
      </x:c>
      <x:c r="I29" s="23" t="n">
        <x:f>D29*Premissas!$B$5/Premissas!$B$4</x:f>
        <x:v>231.8181818181818</x:v>
      </x:c>
      <x:c r="J29" s="23" t="n">
        <x:f>MAX(0,I29-H29)</x:f>
        <x:v>0</x:v>
      </x:c>
      <x:c r="K29" s="23" t="n">
        <x:f>SUMIFS('Cenários de GMD'!$C$4:$C$19,'Cenários de GMD'!$A$4:$A$19,B29,'Cenários de GMD'!$B$4:$B$19,C29)</x:f>
        <x:v>0.6</x:v>
      </x:c>
      <x:c r="L29" s="23" t="n">
        <x:f>IF(J29=0,0,J29/K29)</x:f>
        <x:v>0</x:v>
      </x:c>
      <x:c r="M29" s="23" t="n">
        <x:f>((H29+I29)/2)*SUMIFS('Cenários de GMD'!$D$4:$D$19,'Cenários de GMD'!$A$4:$A$19,B29,'Cenários de GMD'!$B$4:$B$19,C29)</x:f>
        <x:v>0.2318181818181818</x:v>
      </x:c>
      <x:c r="N29" s="23" t="n">
        <x:f>((H29+I29)/2)*SUMIFS('Cenários de GMD'!$E$4:$E$19,'Cenários de GMD'!$A$4:$A$19,B29,'Cenários de GMD'!$B$4:$B$19,C29)</x:f>
        <x:v>0.6954545454545454</x:v>
      </x:c>
      <x:c r="O29" s="21" t="n">
        <x:f>M29*Insumos!$E$4+N29*Insumos!$E$5</x:f>
        <x:v>2.0831181818181816</x:v>
      </x:c>
      <x:c r="P29" s="21" t="n">
        <x:f>O29*Premissas!$B$7</x:f>
        <x:v>62.49354545454545</x:v>
      </x:c>
      <x:c r="Q29" s="21" t="n">
        <x:f>O29*L29</x:f>
        <x:v>0</x:v>
      </x:c>
      <x:c r="R29" s="21" t="n">
        <x:f>Premissas!$B$7*Premissas!$B$8*L29</x:f>
        <x:v>0</x:v>
      </x:c>
      <x:c r="S29" s="21" t="n">
        <x:f>D29*E29</x:f>
        <x:v>2805</x:v>
      </x:c>
      <x:c r="T29" s="21" t="n">
        <x:f>S29*F29</x:f>
        <x:v>47685</x:v>
      </x:c>
      <x:c r="U29" s="21" t="n">
        <x:f>S29-XLOOKUP(A29,Lotes!$A$4:$A$8,Lotes!$D$4:$D$8,Premissas!$B$9)-Q29-R29</x:f>
        <x:v>855</x:v>
      </x:c>
      <x:c r="V29" s="21" t="n">
        <x:f>U29*F29</x:f>
        <x:v>14535</x:v>
      </x:c>
      <x:c r="W29" s="20" t="n">
        <x:f>IF(S29=0,0,U29/S29)</x:f>
        <x:v>0.3048128342245989</x:v>
      </x:c>
      <x:c r="X29" s="21" t="n">
        <x:f>IF(D29-G29&lt;=0,0,Q29/(D29-G29))</x:f>
        <x:v>0</x:v>
      </x:c>
      <x:c r="Y29" s="20" t="n">
        <x:f>IFERROR(U29/(XLOOKUP(A29,Lotes!$A$4:$A$8,Lotes!$D$4:$D$8,Premissas!$B$9)+Q29+R29),0)</x:f>
        <x:v>0.43846153846153846</x:v>
      </x:c>
      <x:c r="Z29" s="20" t="n">
        <x:f>IF(L29=0,Y29,Y29/MAX(1,L29/Premissas!$B$7))</x:f>
        <x:v>0.43846153846153846</x:v>
      </x:c>
      <x:c r="AA29" s="19" t="str">
        <x:f>IF(L29=0,"Venda imediata",IF(L29&lt;=60,"Baixo",IF(L29&lt;=120,"Médio","Alto")))</x:f>
        <x:v>Venda imediata</x:v>
      </x:c>
      <x:c r="AB29" s="19" t="str">
        <x:f>IF(U29&lt;0,"Não fazer",IF(AA29="Alto","Risco seca",IF(Z29&gt;=0.03,"Bom giro","Margem ok")))</x:f>
        <x:v>Bom giro</x:v>
      </x:c>
    </x:row>
    <x:row r="30">
      <x:c r="A30" s="19" t="str">
        <x:v>Lote maior - base 8,5@</x:v>
      </x:c>
      <x:c r="B30" s="19" t="str">
        <x:v>Econômica</x:v>
      </x:c>
      <x:c r="C30" s="19" t="str">
        <x:v>Bom</x:v>
      </x:c>
      <x:c r="D30" s="19" t="n">
        <x:v>9</x:v>
      </x:c>
      <x:c r="E30" s="21" t="n">
        <x:f>Premissas!$B$6</x:f>
        <x:v>330</x:v>
      </x:c>
      <x:c r="F30" s="19" t="n">
        <x:f>XLOOKUP(A30,Lotes!$A$4:$A$8,Lotes!$B$4:$B$8,0)</x:f>
        <x:v>17</x:v>
      </x:c>
      <x:c r="G30" s="23" t="n">
        <x:f>XLOOKUP(A30,Lotes!$A$4:$A$8,Lotes!$C$4:$C$8,0)</x:f>
        <x:v>8.5</x:v>
      </x:c>
      <x:c r="H30" s="23" t="n">
        <x:f>G30*Premissas!$B$5/Premissas!$B$4</x:f>
        <x:v>231.8181818181818</x:v>
      </x:c>
      <x:c r="I30" s="23" t="n">
        <x:f>D30*Premissas!$B$5/Premissas!$B$4</x:f>
        <x:v>245.45454545454544</x:v>
      </x:c>
      <x:c r="J30" s="23" t="n">
        <x:f>MAX(0,I30-H30)</x:f>
        <x:v>13.636363636363626</x:v>
      </x:c>
      <x:c r="K30" s="23" t="n">
        <x:f>SUMIFS('Cenários de GMD'!$C$4:$C$19,'Cenários de GMD'!$A$4:$A$19,B30,'Cenários de GMD'!$B$4:$B$19,C30)</x:f>
        <x:v>0.6</x:v>
      </x:c>
      <x:c r="L30" s="23" t="n">
        <x:f>IF(J30=0,0,J30/K30)</x:f>
        <x:v>22.727272727272712</x:v>
      </x:c>
      <x:c r="M30" s="23" t="n">
        <x:f>((H30+I30)/2)*SUMIFS('Cenários de GMD'!$D$4:$D$19,'Cenários de GMD'!$A$4:$A$19,B30,'Cenários de GMD'!$B$4:$B$19,C30)</x:f>
        <x:v>0.23863636363636362</x:v>
      </x:c>
      <x:c r="N30" s="23" t="n">
        <x:f>((H30+I30)/2)*SUMIFS('Cenários de GMD'!$E$4:$E$19,'Cenários de GMD'!$A$4:$A$19,B30,'Cenários de GMD'!$B$4:$B$19,C30)</x:f>
        <x:v>0.7159090909090909</x:v>
      </x:c>
      <x:c r="O30" s="21" t="n">
        <x:f>M30*Insumos!$E$4+N30*Insumos!$E$5</x:f>
        <x:v>2.1443863636363636</x:v>
      </x:c>
      <x:c r="P30" s="21" t="n">
        <x:f>O30*Premissas!$B$7</x:f>
        <x:v>64.3315909090909</x:v>
      </x:c>
      <x:c r="Q30" s="21" t="n">
        <x:f>O30*L30</x:f>
        <x:v>48.73605371900823</x:v>
      </x:c>
      <x:c r="R30" s="21" t="n">
        <x:f>Premissas!$B$7*Premissas!$B$8*L30</x:f>
        <x:v>0</x:v>
      </x:c>
      <x:c r="S30" s="21" t="n">
        <x:f>D30*E30</x:f>
        <x:v>2970</x:v>
      </x:c>
      <x:c r="T30" s="21" t="n">
        <x:f>S30*F30</x:f>
        <x:v>50490</x:v>
      </x:c>
      <x:c r="U30" s="21" t="n">
        <x:f>S30-XLOOKUP(A30,Lotes!$A$4:$A$8,Lotes!$D$4:$D$8,Premissas!$B$9)-Q30-R30</x:f>
        <x:v>971.2639462809917</x:v>
      </x:c>
      <x:c r="V30" s="21" t="n">
        <x:f>U30*F30</x:f>
        <x:v>16511.48708677686</x:v>
      </x:c>
      <x:c r="W30" s="20" t="n">
        <x:f>IF(S30=0,0,U30/S30)</x:f>
        <x:v>0.32702489773770765</x:v>
      </x:c>
      <x:c r="X30" s="21" t="n">
        <x:f>IF(D30-G30&lt;=0,0,Q30/(D30-G30))</x:f>
        <x:v>97.47210743801647</x:v>
      </x:c>
      <x:c r="Y30" s="20" t="n">
        <x:f>IFERROR(U30/(XLOOKUP(A30,Lotes!$A$4:$A$8,Lotes!$D$4:$D$8,Premissas!$B$9)+Q30+R30),0)</x:f>
        <x:v>0.4859390735829177</x:v>
      </x:c>
      <x:c r="Z30" s="20" t="n">
        <x:f>IF(L30=0,Y30,Y30/MAX(1,L30/Premissas!$B$7))</x:f>
        <x:v>0.4859390735829177</x:v>
      </x:c>
      <x:c r="AA30" s="19" t="str">
        <x:f>IF(L30=0,"Venda imediata",IF(L30&lt;=60,"Baixo",IF(L30&lt;=120,"Médio","Alto")))</x:f>
        <x:v>Baixo</x:v>
      </x:c>
      <x:c r="AB30" s="19" t="str">
        <x:f>IF(U30&lt;0,"Não fazer",IF(AA30="Alto","Risco seca",IF(Z30&gt;=0.03,"Bom giro","Margem ok")))</x:f>
        <x:v>Bom giro</x:v>
      </x:c>
    </x:row>
    <x:row r="31">
      <x:c r="A31" s="19" t="str">
        <x:v>Lote maior - base 8,5@</x:v>
      </x:c>
      <x:c r="B31" s="19" t="str">
        <x:v>Econômica</x:v>
      </x:c>
      <x:c r="C31" s="19" t="str">
        <x:v>Bom</x:v>
      </x:c>
      <x:c r="D31" s="19" t="n">
        <x:v>10.5</x:v>
      </x:c>
      <x:c r="E31" s="21" t="n">
        <x:f>Premissas!$B$6</x:f>
        <x:v>330</x:v>
      </x:c>
      <x:c r="F31" s="19" t="n">
        <x:f>XLOOKUP(A31,Lotes!$A$4:$A$8,Lotes!$B$4:$B$8,0)</x:f>
        <x:v>17</x:v>
      </x:c>
      <x:c r="G31" s="23" t="n">
        <x:f>XLOOKUP(A31,Lotes!$A$4:$A$8,Lotes!$C$4:$C$8,0)</x:f>
        <x:v>8.5</x:v>
      </x:c>
      <x:c r="H31" s="23" t="n">
        <x:f>G31*Premissas!$B$5/Premissas!$B$4</x:f>
        <x:v>231.8181818181818</x:v>
      </x:c>
      <x:c r="I31" s="23" t="n">
        <x:f>D31*Premissas!$B$5/Premissas!$B$4</x:f>
        <x:v>286.3636363636363</x:v>
      </x:c>
      <x:c r="J31" s="23" t="n">
        <x:f>MAX(0,I31-H31)</x:f>
        <x:v>54.545454545454504</x:v>
      </x:c>
      <x:c r="K31" s="23" t="n">
        <x:f>SUMIFS('Cenários de GMD'!$C$4:$C$19,'Cenários de GMD'!$A$4:$A$19,B31,'Cenários de GMD'!$B$4:$B$19,C31)</x:f>
        <x:v>0.6</x:v>
      </x:c>
      <x:c r="L31" s="23" t="n">
        <x:f>IF(J31=0,0,J31/K31)</x:f>
        <x:v>90.90909090909085</x:v>
      </x:c>
      <x:c r="M31" s="23" t="n">
        <x:f>((H31+I31)/2)*SUMIFS('Cenários de GMD'!$D$4:$D$19,'Cenários de GMD'!$A$4:$A$19,B31,'Cenários de GMD'!$B$4:$B$19,C31)</x:f>
        <x:v>0.2590909090909091</x:v>
      </x:c>
      <x:c r="N31" s="23" t="n">
        <x:f>((H31+I31)/2)*SUMIFS('Cenários de GMD'!$E$4:$E$19,'Cenários de GMD'!$A$4:$A$19,B31,'Cenários de GMD'!$B$4:$B$19,C31)</x:f>
        <x:v>0.7772727272727272</x:v>
      </x:c>
      <x:c r="O31" s="21" t="n">
        <x:f>M31*Insumos!$E$4+N31*Insumos!$E$5</x:f>
        <x:v>2.328190909090909</x:v>
      </x:c>
      <x:c r="P31" s="21" t="n">
        <x:f>O31*Premissas!$B$7</x:f>
        <x:v>69.84572727272727</x:v>
      </x:c>
      <x:c r="Q31" s="21" t="n">
        <x:f>O31*L31</x:f>
        <x:v>211.65371900826432</x:v>
      </x:c>
      <x:c r="R31" s="21" t="n">
        <x:f>Premissas!$B$7*Premissas!$B$8*L31</x:f>
        <x:v>0</x:v>
      </x:c>
      <x:c r="S31" s="21" t="n">
        <x:f>D31*E31</x:f>
        <x:v>3465</x:v>
      </x:c>
      <x:c r="T31" s="21" t="n">
        <x:f>S31*F31</x:f>
        <x:v>58905</x:v>
      </x:c>
      <x:c r="U31" s="21" t="n">
        <x:f>S31-XLOOKUP(A31,Lotes!$A$4:$A$8,Lotes!$D$4:$D$8,Premissas!$B$9)-Q31-R31</x:f>
        <x:v>1303.3462809917357</x:v>
      </x:c>
      <x:c r="V31" s="21" t="n">
        <x:f>U31*F31</x:f>
        <x:v>22156.88677685951</x:v>
      </x:c>
      <x:c r="W31" s="20" t="n">
        <x:f>IF(S31=0,0,U31/S31)</x:f>
        <x:v>0.3761461128403278</x:v>
      </x:c>
      <x:c r="X31" s="21" t="n">
        <x:f>IF(D31-G31&lt;=0,0,Q31/(D31-G31))</x:f>
        <x:v>105.82685950413216</x:v>
      </x:c>
      <x:c r="Y31" s="20" t="n">
        <x:f>IFERROR(U31/(XLOOKUP(A31,Lotes!$A$4:$A$8,Lotes!$D$4:$D$8,Premissas!$B$9)+Q31+R31),0)</x:f>
        <x:v>0.602939439157578</x:v>
      </x:c>
      <x:c r="Z31" s="20" t="n">
        <x:f>IF(L31=0,Y31,Y31/MAX(1,L31/Premissas!$B$7))</x:f>
        <x:v>0.19897001492200084</x:v>
      </x:c>
      <x:c r="AA31" s="19" t="str">
        <x:f>IF(L31=0,"Venda imediata",IF(L31&lt;=60,"Baixo",IF(L31&lt;=120,"Médio","Alto")))</x:f>
        <x:v>Médio</x:v>
      </x:c>
      <x:c r="AB31" s="19" t="str">
        <x:f>IF(U31&lt;0,"Não fazer",IF(AA31="Alto","Risco seca",IF(Z31&gt;=0.03,"Bom giro","Margem ok")))</x:f>
        <x:v>Bom giro</x:v>
      </x:c>
    </x:row>
    <x:row r="32">
      <x:c r="A32" s="19" t="str">
        <x:v>Lote maior - base 8,5@</x:v>
      </x:c>
      <x:c r="B32" s="19" t="str">
        <x:v>Econômica</x:v>
      </x:c>
      <x:c r="C32" s="19" t="str">
        <x:v>Bom</x:v>
      </x:c>
      <x:c r="D32" s="19" t="n">
        <x:v>11</x:v>
      </x:c>
      <x:c r="E32" s="21" t="n">
        <x:f>Premissas!$B$6</x:f>
        <x:v>330</x:v>
      </x:c>
      <x:c r="F32" s="19" t="n">
        <x:f>XLOOKUP(A32,Lotes!$A$4:$A$8,Lotes!$B$4:$B$8,0)</x:f>
        <x:v>17</x:v>
      </x:c>
      <x:c r="G32" s="23" t="n">
        <x:f>XLOOKUP(A32,Lotes!$A$4:$A$8,Lotes!$C$4:$C$8,0)</x:f>
        <x:v>8.5</x:v>
      </x:c>
      <x:c r="H32" s="23" t="n">
        <x:f>G32*Premissas!$B$5/Premissas!$B$4</x:f>
        <x:v>231.8181818181818</x:v>
      </x:c>
      <x:c r="I32" s="23" t="n">
        <x:f>D32*Premissas!$B$5/Premissas!$B$4</x:f>
        <x:v>300</x:v>
      </x:c>
      <x:c r="J32" s="23" t="n">
        <x:f>MAX(0,I32-H32)</x:f>
        <x:v>68.18181818181819</x:v>
      </x:c>
      <x:c r="K32" s="23" t="n">
        <x:f>SUMIFS('Cenários de GMD'!$C$4:$C$19,'Cenários de GMD'!$A$4:$A$19,B32,'Cenários de GMD'!$B$4:$B$19,C32)</x:f>
        <x:v>0.6</x:v>
      </x:c>
      <x:c r="L32" s="23" t="n">
        <x:f>IF(J32=0,0,J32/K32)</x:f>
        <x:v>113.63636363636365</x:v>
      </x:c>
      <x:c r="M32" s="23" t="n">
        <x:f>((H32+I32)/2)*SUMIFS('Cenários de GMD'!$D$4:$D$19,'Cenários de GMD'!$A$4:$A$19,B32,'Cenários de GMD'!$B$4:$B$19,C32)</x:f>
        <x:v>0.2659090909090909</x:v>
      </x:c>
      <x:c r="N32" s="23" t="n">
        <x:f>((H32+I32)/2)*SUMIFS('Cenários de GMD'!$E$4:$E$19,'Cenários de GMD'!$A$4:$A$19,B32,'Cenários de GMD'!$B$4:$B$19,C32)</x:f>
        <x:v>0.7977272727272726</x:v>
      </x:c>
      <x:c r="O32" s="21" t="n">
        <x:f>M32*Insumos!$E$4+N32*Insumos!$E$5</x:f>
        <x:v>2.3894590909090905</x:v>
      </x:c>
      <x:c r="P32" s="21" t="n">
        <x:f>O32*Premissas!$B$7</x:f>
        <x:v>71.68377272727271</x:v>
      </x:c>
      <x:c r="Q32" s="21" t="n">
        <x:f>O32*L32</x:f>
        <x:v>271.5294421487603</x:v>
      </x:c>
      <x:c r="R32" s="21" t="n">
        <x:f>Premissas!$B$7*Premissas!$B$8*L32</x:f>
        <x:v>0</x:v>
      </x:c>
      <x:c r="S32" s="21" t="n">
        <x:f>D32*E32</x:f>
        <x:v>3630</x:v>
      </x:c>
      <x:c r="T32" s="21" t="n">
        <x:f>S32*F32</x:f>
        <x:v>61710</x:v>
      </x:c>
      <x:c r="U32" s="21" t="n">
        <x:f>S32-XLOOKUP(A32,Lotes!$A$4:$A$8,Lotes!$D$4:$D$8,Premissas!$B$9)-Q32-R32</x:f>
        <x:v>1408.4705578512396</x:v>
      </x:c>
      <x:c r="V32" s="21" t="n">
        <x:f>U32*F32</x:f>
        <x:v>23943.999483471074</x:v>
      </x:c>
      <x:c r="W32" s="20" t="n">
        <x:f>IF(S32=0,0,U32/S32)</x:f>
        <x:v>0.38800841814083736</x:v>
      </x:c>
      <x:c r="X32" s="21" t="n">
        <x:f>IF(D32-G32&lt;=0,0,Q32/(D32-G32))</x:f>
        <x:v>108.61177685950413</x:v>
      </x:c>
      <x:c r="Y32" s="20" t="n">
        <x:f>IFERROR(U32/(XLOOKUP(A32,Lotes!$A$4:$A$8,Lotes!$D$4:$D$8,Premissas!$B$9)+Q32+R32),0)</x:f>
        <x:v>0.6340094041197606</x:v>
      </x:c>
      <x:c r="Z32" s="20" t="n">
        <x:f>IF(L32=0,Y32,Y32/MAX(1,L32/Premissas!$B$7))</x:f>
        <x:v>0.16737848268761676</x:v>
      </x:c>
      <x:c r="AA32" s="19" t="str">
        <x:f>IF(L32=0,"Venda imediata",IF(L32&lt;=60,"Baixo",IF(L32&lt;=120,"Médio","Alto")))</x:f>
        <x:v>Médio</x:v>
      </x:c>
      <x:c r="AB32" s="19" t="str">
        <x:f>IF(U32&lt;0,"Não fazer",IF(AA32="Alto","Risco seca",IF(Z32&gt;=0.03,"Bom giro","Margem ok")))</x:f>
        <x:v>Bom giro</x:v>
      </x:c>
    </x:row>
    <x:row r="33">
      <x:c r="A33" s="19" t="str">
        <x:v>Lote maior - base 8,5@</x:v>
      </x:c>
      <x:c r="B33" s="19" t="str">
        <x:v>Econômica</x:v>
      </x:c>
      <x:c r="C33" s="19" t="str">
        <x:v>Bom</x:v>
      </x:c>
      <x:c r="D33" s="19" t="n">
        <x:v>12</x:v>
      </x:c>
      <x:c r="E33" s="21" t="n">
        <x:f>Premissas!$B$6</x:f>
        <x:v>330</x:v>
      </x:c>
      <x:c r="F33" s="19" t="n">
        <x:f>XLOOKUP(A33,Lotes!$A$4:$A$8,Lotes!$B$4:$B$8,0)</x:f>
        <x:v>17</x:v>
      </x:c>
      <x:c r="G33" s="23" t="n">
        <x:f>XLOOKUP(A33,Lotes!$A$4:$A$8,Lotes!$C$4:$C$8,0)</x:f>
        <x:v>8.5</x:v>
      </x:c>
      <x:c r="H33" s="23" t="n">
        <x:f>G33*Premissas!$B$5/Premissas!$B$4</x:f>
        <x:v>231.8181818181818</x:v>
      </x:c>
      <x:c r="I33" s="23" t="n">
        <x:f>D33*Premissas!$B$5/Premissas!$B$4</x:f>
        <x:v>327.27272727272725</x:v>
      </x:c>
      <x:c r="J33" s="23" t="n">
        <x:f>MAX(0,I33-H33)</x:f>
        <x:v>95.45454545454544</x:v>
      </x:c>
      <x:c r="K33" s="23" t="n">
        <x:f>SUMIFS('Cenários de GMD'!$C$4:$C$19,'Cenários de GMD'!$A$4:$A$19,B33,'Cenários de GMD'!$B$4:$B$19,C33)</x:f>
        <x:v>0.6</x:v>
      </x:c>
      <x:c r="L33" s="23" t="n">
        <x:f>IF(J33=0,0,J33/K33)</x:f>
        <x:v>159.09090909090907</x:v>
      </x:c>
      <x:c r="M33" s="23" t="n">
        <x:f>((H33+I33)/2)*SUMIFS('Cenários de GMD'!$D$4:$D$19,'Cenários de GMD'!$A$4:$A$19,B33,'Cenários de GMD'!$B$4:$B$19,C33)</x:f>
        <x:v>0.2795454545454545</x:v>
      </x:c>
      <x:c r="N33" s="23" t="n">
        <x:f>((H33+I33)/2)*SUMIFS('Cenários de GMD'!$E$4:$E$19,'Cenários de GMD'!$A$4:$A$19,B33,'Cenários de GMD'!$B$4:$B$19,C33)</x:f>
        <x:v>0.8386363636363635</x:v>
      </x:c>
      <x:c r="O33" s="21" t="n">
        <x:f>M33*Insumos!$E$4+N33*Insumos!$E$5</x:f>
        <x:v>2.5119954545454544</x:v>
      </x:c>
      <x:c r="P33" s="21" t="n">
        <x:f>O33*Premissas!$B$7</x:f>
        <x:v>75.35986363636363</x:v>
      </x:c>
      <x:c r="Q33" s="21" t="n">
        <x:f>O33*L33</x:f>
        <x:v>399.6356404958677</x:v>
      </x:c>
      <x:c r="R33" s="21" t="n">
        <x:f>Premissas!$B$7*Premissas!$B$8*L33</x:f>
        <x:v>0</x:v>
      </x:c>
      <x:c r="S33" s="21" t="n">
        <x:f>D33*E33</x:f>
        <x:v>3960</x:v>
      </x:c>
      <x:c r="T33" s="21" t="n">
        <x:f>S33*F33</x:f>
        <x:v>67320</x:v>
      </x:c>
      <x:c r="U33" s="21" t="n">
        <x:f>S33-XLOOKUP(A33,Lotes!$A$4:$A$8,Lotes!$D$4:$D$8,Premissas!$B$9)-Q33-R33</x:f>
        <x:v>1610.3643595041324</x:v>
      </x:c>
      <x:c r="V33" s="21" t="n">
        <x:f>U33*F33</x:f>
        <x:v>27376.19411157025</x:v>
      </x:c>
      <x:c r="W33" s="20" t="n">
        <x:f>IF(S33=0,0,U33/S33)</x:f>
        <x:v>0.4066576665414476</x:v>
      </x:c>
      <x:c r="X33" s="21" t="n">
        <x:f>IF(D33-G33&lt;=0,0,Q33/(D33-G33))</x:f>
        <x:v>114.18161157024791</x:v>
      </x:c>
      <x:c r="Y33" s="20" t="n">
        <x:f>IFERROR(U33/(XLOOKUP(A33,Lotes!$A$4:$A$8,Lotes!$D$4:$D$8,Premissas!$B$9)+Q33+R33),0)</x:f>
        <x:v>0.685367693505143</x:v>
      </x:c>
      <x:c r="Z33" s="20" t="n">
        <x:f>IF(L33=0,Y33,Y33/MAX(1,L33/Premissas!$B$7))</x:f>
        <x:v>0.12924076506096985</x:v>
      </x:c>
      <x:c r="AA33" s="19" t="str">
        <x:f>IF(L33=0,"Venda imediata",IF(L33&lt;=60,"Baixo",IF(L33&lt;=120,"Médio","Alto")))</x:f>
        <x:v>Alto</x:v>
      </x:c>
      <x:c r="AB33" s="19" t="str">
        <x:f>IF(U33&lt;0,"Não fazer",IF(AA33="Alto","Risco seca",IF(Z33&gt;=0.03,"Bom giro","Margem ok")))</x:f>
        <x:v>Risco seca</x:v>
      </x:c>
    </x:row>
    <x:row r="34">
      <x:c r="A34" s="19" t="str">
        <x:v>Lote maior - base 8,5@</x:v>
      </x:c>
      <x:c r="B34" s="19" t="str">
        <x:v>Econômica</x:v>
      </x:c>
      <x:c r="C34" s="19" t="str">
        <x:v>Ótimo</x:v>
      </x:c>
      <x:c r="D34" s="19" t="n">
        <x:v>8.5</x:v>
      </x:c>
      <x:c r="E34" s="21" t="n">
        <x:f>Premissas!$B$6</x:f>
        <x:v>330</x:v>
      </x:c>
      <x:c r="F34" s="19" t="n">
        <x:f>XLOOKUP(A34,Lotes!$A$4:$A$8,Lotes!$B$4:$B$8,0)</x:f>
        <x:v>17</x:v>
      </x:c>
      <x:c r="G34" s="23" t="n">
        <x:f>XLOOKUP(A34,Lotes!$A$4:$A$8,Lotes!$C$4:$C$8,0)</x:f>
        <x:v>8.5</x:v>
      </x:c>
      <x:c r="H34" s="23" t="n">
        <x:f>G34*Premissas!$B$5/Premissas!$B$4</x:f>
        <x:v>231.8181818181818</x:v>
      </x:c>
      <x:c r="I34" s="23" t="n">
        <x:f>D34*Premissas!$B$5/Premissas!$B$4</x:f>
        <x:v>231.8181818181818</x:v>
      </x:c>
      <x:c r="J34" s="23" t="n">
        <x:f>MAX(0,I34-H34)</x:f>
        <x:v>0</x:v>
      </x:c>
      <x:c r="K34" s="23" t="n">
        <x:f>SUMIFS('Cenários de GMD'!$C$4:$C$19,'Cenários de GMD'!$A$4:$A$19,B34,'Cenários de GMD'!$B$4:$B$19,C34)</x:f>
        <x:v>0.7</x:v>
      </x:c>
      <x:c r="L34" s="23" t="n">
        <x:f>IF(J34=0,0,J34/K34)</x:f>
        <x:v>0</x:v>
      </x:c>
      <x:c r="M34" s="23" t="n">
        <x:f>((H34+I34)/2)*SUMIFS('Cenários de GMD'!$D$4:$D$19,'Cenários de GMD'!$A$4:$A$19,B34,'Cenários de GMD'!$B$4:$B$19,C34)</x:f>
        <x:v>0.2318181818181818</x:v>
      </x:c>
      <x:c r="N34" s="23" t="n">
        <x:f>((H34+I34)/2)*SUMIFS('Cenários de GMD'!$E$4:$E$19,'Cenários de GMD'!$A$4:$A$19,B34,'Cenários de GMD'!$B$4:$B$19,C34)</x:f>
        <x:v>0.6954545454545454</x:v>
      </x:c>
      <x:c r="O34" s="21" t="n">
        <x:f>M34*Insumos!$E$4+N34*Insumos!$E$5</x:f>
        <x:v>2.0831181818181816</x:v>
      </x:c>
      <x:c r="P34" s="21" t="n">
        <x:f>O34*Premissas!$B$7</x:f>
        <x:v>62.49354545454545</x:v>
      </x:c>
      <x:c r="Q34" s="21" t="n">
        <x:f>O34*L34</x:f>
        <x:v>0</x:v>
      </x:c>
      <x:c r="R34" s="21" t="n">
        <x:f>Premissas!$B$7*Premissas!$B$8*L34</x:f>
        <x:v>0</x:v>
      </x:c>
      <x:c r="S34" s="21" t="n">
        <x:f>D34*E34</x:f>
        <x:v>2805</x:v>
      </x:c>
      <x:c r="T34" s="21" t="n">
        <x:f>S34*F34</x:f>
        <x:v>47685</x:v>
      </x:c>
      <x:c r="U34" s="21" t="n">
        <x:f>S34-XLOOKUP(A34,Lotes!$A$4:$A$8,Lotes!$D$4:$D$8,Premissas!$B$9)-Q34-R34</x:f>
        <x:v>855</x:v>
      </x:c>
      <x:c r="V34" s="21" t="n">
        <x:f>U34*F34</x:f>
        <x:v>14535</x:v>
      </x:c>
      <x:c r="W34" s="20" t="n">
        <x:f>IF(S34=0,0,U34/S34)</x:f>
        <x:v>0.3048128342245989</x:v>
      </x:c>
      <x:c r="X34" s="21" t="n">
        <x:f>IF(D34-G34&lt;=0,0,Q34/(D34-G34))</x:f>
        <x:v>0</x:v>
      </x:c>
      <x:c r="Y34" s="20" t="n">
        <x:f>IFERROR(U34/(XLOOKUP(A34,Lotes!$A$4:$A$8,Lotes!$D$4:$D$8,Premissas!$B$9)+Q34+R34),0)</x:f>
        <x:v>0.43846153846153846</x:v>
      </x:c>
      <x:c r="Z34" s="20" t="n">
        <x:f>IF(L34=0,Y34,Y34/MAX(1,L34/Premissas!$B$7))</x:f>
        <x:v>0.43846153846153846</x:v>
      </x:c>
      <x:c r="AA34" s="19" t="str">
        <x:f>IF(L34=0,"Venda imediata",IF(L34&lt;=60,"Baixo",IF(L34&lt;=120,"Médio","Alto")))</x:f>
        <x:v>Venda imediata</x:v>
      </x:c>
      <x:c r="AB34" s="19" t="str">
        <x:f>IF(U34&lt;0,"Não fazer",IF(AA34="Alto","Risco seca",IF(Z34&gt;=0.03,"Bom giro","Margem ok")))</x:f>
        <x:v>Bom giro</x:v>
      </x:c>
    </x:row>
    <x:row r="35">
      <x:c r="A35" s="19" t="str">
        <x:v>Lote maior - base 8,5@</x:v>
      </x:c>
      <x:c r="B35" s="19" t="str">
        <x:v>Econômica</x:v>
      </x:c>
      <x:c r="C35" s="19" t="str">
        <x:v>Ótimo</x:v>
      </x:c>
      <x:c r="D35" s="19" t="n">
        <x:v>9</x:v>
      </x:c>
      <x:c r="E35" s="21" t="n">
        <x:f>Premissas!$B$6</x:f>
        <x:v>330</x:v>
      </x:c>
      <x:c r="F35" s="19" t="n">
        <x:f>XLOOKUP(A35,Lotes!$A$4:$A$8,Lotes!$B$4:$B$8,0)</x:f>
        <x:v>17</x:v>
      </x:c>
      <x:c r="G35" s="23" t="n">
        <x:f>XLOOKUP(A35,Lotes!$A$4:$A$8,Lotes!$C$4:$C$8,0)</x:f>
        <x:v>8.5</x:v>
      </x:c>
      <x:c r="H35" s="23" t="n">
        <x:f>G35*Premissas!$B$5/Premissas!$B$4</x:f>
        <x:v>231.8181818181818</x:v>
      </x:c>
      <x:c r="I35" s="23" t="n">
        <x:f>D35*Premissas!$B$5/Premissas!$B$4</x:f>
        <x:v>245.45454545454544</x:v>
      </x:c>
      <x:c r="J35" s="23" t="n">
        <x:f>MAX(0,I35-H35)</x:f>
        <x:v>13.636363636363626</x:v>
      </x:c>
      <x:c r="K35" s="23" t="n">
        <x:f>SUMIFS('Cenários de GMD'!$C$4:$C$19,'Cenários de GMD'!$A$4:$A$19,B35,'Cenários de GMD'!$B$4:$B$19,C35)</x:f>
        <x:v>0.7</x:v>
      </x:c>
      <x:c r="L35" s="23" t="n">
        <x:f>IF(J35=0,0,J35/K35)</x:f>
        <x:v>19.480519480519465</x:v>
      </x:c>
      <x:c r="M35" s="23" t="n">
        <x:f>((H35+I35)/2)*SUMIFS('Cenários de GMD'!$D$4:$D$19,'Cenários de GMD'!$A$4:$A$19,B35,'Cenários de GMD'!$B$4:$B$19,C35)</x:f>
        <x:v>0.23863636363636362</x:v>
      </x:c>
      <x:c r="N35" s="23" t="n">
        <x:f>((H35+I35)/2)*SUMIFS('Cenários de GMD'!$E$4:$E$19,'Cenários de GMD'!$A$4:$A$19,B35,'Cenários de GMD'!$B$4:$B$19,C35)</x:f>
        <x:v>0.7159090909090909</x:v>
      </x:c>
      <x:c r="O35" s="21" t="n">
        <x:f>M35*Insumos!$E$4+N35*Insumos!$E$5</x:f>
        <x:v>2.1443863636363636</x:v>
      </x:c>
      <x:c r="P35" s="21" t="n">
        <x:f>O35*Premissas!$B$7</x:f>
        <x:v>64.3315909090909</x:v>
      </x:c>
      <x:c r="Q35" s="21" t="n">
        <x:f>O35*L35</x:f>
        <x:v>41.773760330578476</x:v>
      </x:c>
      <x:c r="R35" s="21" t="n">
        <x:f>Premissas!$B$7*Premissas!$B$8*L35</x:f>
        <x:v>0</x:v>
      </x:c>
      <x:c r="S35" s="21" t="n">
        <x:f>D35*E35</x:f>
        <x:v>2970</x:v>
      </x:c>
      <x:c r="T35" s="21" t="n">
        <x:f>S35*F35</x:f>
        <x:v>50490</x:v>
      </x:c>
      <x:c r="U35" s="21" t="n">
        <x:f>S35-XLOOKUP(A35,Lotes!$A$4:$A$8,Lotes!$D$4:$D$8,Premissas!$B$9)-Q35-R35</x:f>
        <x:v>978.2262396694215</x:v>
      </x:c>
      <x:c r="V35" s="21" t="n">
        <x:f>U35*F35</x:f>
        <x:v>16629.846074380166</x:v>
      </x:c>
      <x:c r="W35" s="20" t="n">
        <x:f>IF(S35=0,0,U35/S35)</x:f>
        <x:v>0.32936910426579846</x:v>
      </x:c>
      <x:c r="X35" s="21" t="n">
        <x:f>IF(D35-G35&lt;=0,0,Q35/(D35-G35))</x:f>
        <x:v>83.54752066115695</x:v>
      </x:c>
      <x:c r="Y35" s="20" t="n">
        <x:f>IFERROR(U35/(XLOOKUP(A35,Lotes!$A$4:$A$8,Lotes!$D$4:$D$8,Premissas!$B$9)+Q35+R35),0)</x:f>
        <x:v>0.4911332095805216</x:v>
      </x:c>
      <x:c r="Z35" s="20" t="n">
        <x:f>IF(L35=0,Y35,Y35/MAX(1,L35/Premissas!$B$7))</x:f>
        <x:v>0.4911332095805216</x:v>
      </x:c>
      <x:c r="AA35" s="19" t="str">
        <x:f>IF(L35=0,"Venda imediata",IF(L35&lt;=60,"Baixo",IF(L35&lt;=120,"Médio","Alto")))</x:f>
        <x:v>Baixo</x:v>
      </x:c>
      <x:c r="AB35" s="19" t="str">
        <x:f>IF(U35&lt;0,"Não fazer",IF(AA35="Alto","Risco seca",IF(Z35&gt;=0.03,"Bom giro","Margem ok")))</x:f>
        <x:v>Bom giro</x:v>
      </x:c>
    </x:row>
    <x:row r="36">
      <x:c r="A36" s="19" t="str">
        <x:v>Lote maior - base 8,5@</x:v>
      </x:c>
      <x:c r="B36" s="19" t="str">
        <x:v>Econômica</x:v>
      </x:c>
      <x:c r="C36" s="19" t="str">
        <x:v>Ótimo</x:v>
      </x:c>
      <x:c r="D36" s="19" t="n">
        <x:v>10.5</x:v>
      </x:c>
      <x:c r="E36" s="21" t="n">
        <x:f>Premissas!$B$6</x:f>
        <x:v>330</x:v>
      </x:c>
      <x:c r="F36" s="19" t="n">
        <x:f>XLOOKUP(A36,Lotes!$A$4:$A$8,Lotes!$B$4:$B$8,0)</x:f>
        <x:v>17</x:v>
      </x:c>
      <x:c r="G36" s="23" t="n">
        <x:f>XLOOKUP(A36,Lotes!$A$4:$A$8,Lotes!$C$4:$C$8,0)</x:f>
        <x:v>8.5</x:v>
      </x:c>
      <x:c r="H36" s="23" t="n">
        <x:f>G36*Premissas!$B$5/Premissas!$B$4</x:f>
        <x:v>231.8181818181818</x:v>
      </x:c>
      <x:c r="I36" s="23" t="n">
        <x:f>D36*Premissas!$B$5/Premissas!$B$4</x:f>
        <x:v>286.3636363636363</x:v>
      </x:c>
      <x:c r="J36" s="23" t="n">
        <x:f>MAX(0,I36-H36)</x:f>
        <x:v>54.545454545454504</x:v>
      </x:c>
      <x:c r="K36" s="23" t="n">
        <x:f>SUMIFS('Cenários de GMD'!$C$4:$C$19,'Cenários de GMD'!$A$4:$A$19,B36,'Cenários de GMD'!$B$4:$B$19,C36)</x:f>
        <x:v>0.7</x:v>
      </x:c>
      <x:c r="L36" s="23" t="n">
        <x:f>IF(J36=0,0,J36/K36)</x:f>
        <x:v>77.92207792207786</x:v>
      </x:c>
      <x:c r="M36" s="23" t="n">
        <x:f>((H36+I36)/2)*SUMIFS('Cenários de GMD'!$D$4:$D$19,'Cenários de GMD'!$A$4:$A$19,B36,'Cenários de GMD'!$B$4:$B$19,C36)</x:f>
        <x:v>0.2590909090909091</x:v>
      </x:c>
      <x:c r="N36" s="23" t="n">
        <x:f>((H36+I36)/2)*SUMIFS('Cenários de GMD'!$E$4:$E$19,'Cenários de GMD'!$A$4:$A$19,B36,'Cenários de GMD'!$B$4:$B$19,C36)</x:f>
        <x:v>0.7772727272727272</x:v>
      </x:c>
      <x:c r="O36" s="21" t="n">
        <x:f>M36*Insumos!$E$4+N36*Insumos!$E$5</x:f>
        <x:v>2.328190909090909</x:v>
      </x:c>
      <x:c r="P36" s="21" t="n">
        <x:f>O36*Premissas!$B$7</x:f>
        <x:v>69.84572727272727</x:v>
      </x:c>
      <x:c r="Q36" s="21" t="n">
        <x:f>O36*L36</x:f>
        <x:v>181.4174734356551</x:v>
      </x:c>
      <x:c r="R36" s="21" t="n">
        <x:f>Premissas!$B$7*Premissas!$B$8*L36</x:f>
        <x:v>0</x:v>
      </x:c>
      <x:c r="S36" s="21" t="n">
        <x:f>D36*E36</x:f>
        <x:v>3465</x:v>
      </x:c>
      <x:c r="T36" s="21" t="n">
        <x:f>S36*F36</x:f>
        <x:v>58905</x:v>
      </x:c>
      <x:c r="U36" s="21" t="n">
        <x:f>S36-XLOOKUP(A36,Lotes!$A$4:$A$8,Lotes!$D$4:$D$8,Premissas!$B$9)-Q36-R36</x:f>
        <x:v>1333.5825265643448</x:v>
      </x:c>
      <x:c r="V36" s="21" t="n">
        <x:f>U36*F36</x:f>
        <x:v>22670.90295159386</x:v>
      </x:c>
      <x:c r="W36" s="20" t="n">
        <x:f>IF(S36=0,0,U36/S36)</x:f>
        <x:v>0.38487230203877193</x:v>
      </x:c>
      <x:c r="X36" s="21" t="n">
        <x:f>IF(D36-G36&lt;=0,0,Q36/(D36-G36))</x:f>
        <x:v>90.70873671782755</x:v>
      </x:c>
      <x:c r="Y36" s="20" t="n">
        <x:f>IFERROR(U36/(XLOOKUP(A36,Lotes!$A$4:$A$8,Lotes!$D$4:$D$8,Premissas!$B$9)+Q36+R36),0)</x:f>
        <x:v>0.6256787059246204</x:v>
      </x:c>
      <x:c r="Z36" s="20" t="n">
        <x:f>IF(L36=0,Y36,Y36/MAX(1,L36/Premissas!$B$7))</x:f>
        <x:v>0.24088630178097906</x:v>
      </x:c>
      <x:c r="AA36" s="19" t="str">
        <x:f>IF(L36=0,"Venda imediata",IF(L36&lt;=60,"Baixo",IF(L36&lt;=120,"Médio","Alto")))</x:f>
        <x:v>Médio</x:v>
      </x:c>
      <x:c r="AB36" s="19" t="str">
        <x:f>IF(U36&lt;0,"Não fazer",IF(AA36="Alto","Risco seca",IF(Z36&gt;=0.03,"Bom giro","Margem ok")))</x:f>
        <x:v>Bom giro</x:v>
      </x:c>
    </x:row>
    <x:row r="37">
      <x:c r="A37" s="19" t="str">
        <x:v>Lote maior - base 8,5@</x:v>
      </x:c>
      <x:c r="B37" s="19" t="str">
        <x:v>Econômica</x:v>
      </x:c>
      <x:c r="C37" s="19" t="str">
        <x:v>Ótimo</x:v>
      </x:c>
      <x:c r="D37" s="19" t="n">
        <x:v>11</x:v>
      </x:c>
      <x:c r="E37" s="21" t="n">
        <x:f>Premissas!$B$6</x:f>
        <x:v>330</x:v>
      </x:c>
      <x:c r="F37" s="19" t="n">
        <x:f>XLOOKUP(A37,Lotes!$A$4:$A$8,Lotes!$B$4:$B$8,0)</x:f>
        <x:v>17</x:v>
      </x:c>
      <x:c r="G37" s="23" t="n">
        <x:f>XLOOKUP(A37,Lotes!$A$4:$A$8,Lotes!$C$4:$C$8,0)</x:f>
        <x:v>8.5</x:v>
      </x:c>
      <x:c r="H37" s="23" t="n">
        <x:f>G37*Premissas!$B$5/Premissas!$B$4</x:f>
        <x:v>231.8181818181818</x:v>
      </x:c>
      <x:c r="I37" s="23" t="n">
        <x:f>D37*Premissas!$B$5/Premissas!$B$4</x:f>
        <x:v>300</x:v>
      </x:c>
      <x:c r="J37" s="23" t="n">
        <x:f>MAX(0,I37-H37)</x:f>
        <x:v>68.18181818181819</x:v>
      </x:c>
      <x:c r="K37" s="23" t="n">
        <x:f>SUMIFS('Cenários de GMD'!$C$4:$C$19,'Cenários de GMD'!$A$4:$A$19,B37,'Cenários de GMD'!$B$4:$B$19,C37)</x:f>
        <x:v>0.7</x:v>
      </x:c>
      <x:c r="L37" s="23" t="n">
        <x:f>IF(J37=0,0,J37/K37)</x:f>
        <x:v>97.40259740259742</x:v>
      </x:c>
      <x:c r="M37" s="23" t="n">
        <x:f>((H37+I37)/2)*SUMIFS('Cenários de GMD'!$D$4:$D$19,'Cenários de GMD'!$A$4:$A$19,B37,'Cenários de GMD'!$B$4:$B$19,C37)</x:f>
        <x:v>0.2659090909090909</x:v>
      </x:c>
      <x:c r="N37" s="23" t="n">
        <x:f>((H37+I37)/2)*SUMIFS('Cenários de GMD'!$E$4:$E$19,'Cenários de GMD'!$A$4:$A$19,B37,'Cenários de GMD'!$B$4:$B$19,C37)</x:f>
        <x:v>0.7977272727272726</x:v>
      </x:c>
      <x:c r="O37" s="21" t="n">
        <x:f>M37*Insumos!$E$4+N37*Insumos!$E$5</x:f>
        <x:v>2.3894590909090905</x:v>
      </x:c>
      <x:c r="P37" s="21" t="n">
        <x:f>O37*Premissas!$B$7</x:f>
        <x:v>71.68377272727271</x:v>
      </x:c>
      <x:c r="Q37" s="21" t="n">
        <x:f>O37*L37</x:f>
        <x:v>232.73952184179458</x:v>
      </x:c>
      <x:c r="R37" s="21" t="n">
        <x:f>Premissas!$B$7*Premissas!$B$8*L37</x:f>
        <x:v>0</x:v>
      </x:c>
      <x:c r="S37" s="21" t="n">
        <x:f>D37*E37</x:f>
        <x:v>3630</x:v>
      </x:c>
      <x:c r="T37" s="21" t="n">
        <x:f>S37*F37</x:f>
        <x:v>61710</x:v>
      </x:c>
      <x:c r="U37" s="21" t="n">
        <x:f>S37-XLOOKUP(A37,Lotes!$A$4:$A$8,Lotes!$D$4:$D$8,Premissas!$B$9)-Q37-R37</x:f>
        <x:v>1447.2604781582054</x:v>
      </x:c>
      <x:c r="V37" s="21" t="n">
        <x:f>U37*F37</x:f>
        <x:v>24603.42812868949</x:v>
      </x:c>
      <x:c r="W37" s="20" t="n">
        <x:f>IF(S37=0,0,U37/S37)</x:f>
        <x:v>0.3986943466000566</x:v>
      </x:c>
      <x:c r="X37" s="21" t="n">
        <x:f>IF(D37-G37&lt;=0,0,Q37/(D37-G37))</x:f>
        <x:v>93.09580873671783</x:v>
      </x:c>
      <x:c r="Y37" s="20" t="n">
        <x:f>IFERROR(U37/(XLOOKUP(A37,Lotes!$A$4:$A$8,Lotes!$D$4:$D$8,Premissas!$B$9)+Q37+R37),0)</x:f>
        <x:v>0.6630477268020545</x:v>
      </x:c>
      <x:c r="Z37" s="20" t="n">
        <x:f>IF(L37=0,Y37,Y37/MAX(1,L37/Premissas!$B$7))</x:f>
        <x:v>0.20421869985503271</x:v>
      </x:c>
      <x:c r="AA37" s="19" t="str">
        <x:f>IF(L37=0,"Venda imediata",IF(L37&lt;=60,"Baixo",IF(L37&lt;=120,"Médio","Alto")))</x:f>
        <x:v>Médio</x:v>
      </x:c>
      <x:c r="AB37" s="19" t="str">
        <x:f>IF(U37&lt;0,"Não fazer",IF(AA37="Alto","Risco seca",IF(Z37&gt;=0.03,"Bom giro","Margem ok")))</x:f>
        <x:v>Bom giro</x:v>
      </x:c>
    </x:row>
    <x:row r="38">
      <x:c r="A38" s="19" t="str">
        <x:v>Lote maior - base 8,5@</x:v>
      </x:c>
      <x:c r="B38" s="19" t="str">
        <x:v>Econômica</x:v>
      </x:c>
      <x:c r="C38" s="19" t="str">
        <x:v>Ótimo</x:v>
      </x:c>
      <x:c r="D38" s="19" t="n">
        <x:v>12</x:v>
      </x:c>
      <x:c r="E38" s="21" t="n">
        <x:f>Premissas!$B$6</x:f>
        <x:v>330</x:v>
      </x:c>
      <x:c r="F38" s="19" t="n">
        <x:f>XLOOKUP(A38,Lotes!$A$4:$A$8,Lotes!$B$4:$B$8,0)</x:f>
        <x:v>17</x:v>
      </x:c>
      <x:c r="G38" s="23" t="n">
        <x:f>XLOOKUP(A38,Lotes!$A$4:$A$8,Lotes!$C$4:$C$8,0)</x:f>
        <x:v>8.5</x:v>
      </x:c>
      <x:c r="H38" s="23" t="n">
        <x:f>G38*Premissas!$B$5/Premissas!$B$4</x:f>
        <x:v>231.8181818181818</x:v>
      </x:c>
      <x:c r="I38" s="23" t="n">
        <x:f>D38*Premissas!$B$5/Premissas!$B$4</x:f>
        <x:v>327.27272727272725</x:v>
      </x:c>
      <x:c r="J38" s="23" t="n">
        <x:f>MAX(0,I38-H38)</x:f>
        <x:v>95.45454545454544</x:v>
      </x:c>
      <x:c r="K38" s="23" t="n">
        <x:f>SUMIFS('Cenários de GMD'!$C$4:$C$19,'Cenários de GMD'!$A$4:$A$19,B38,'Cenários de GMD'!$B$4:$B$19,C38)</x:f>
        <x:v>0.7</x:v>
      </x:c>
      <x:c r="L38" s="23" t="n">
        <x:f>IF(J38=0,0,J38/K38)</x:f>
        <x:v>136.36363636363635</x:v>
      </x:c>
      <x:c r="M38" s="23" t="n">
        <x:f>((H38+I38)/2)*SUMIFS('Cenários de GMD'!$D$4:$D$19,'Cenários de GMD'!$A$4:$A$19,B38,'Cenários de GMD'!$B$4:$B$19,C38)</x:f>
        <x:v>0.2795454545454545</x:v>
      </x:c>
      <x:c r="N38" s="23" t="n">
        <x:f>((H38+I38)/2)*SUMIFS('Cenários de GMD'!$E$4:$E$19,'Cenários de GMD'!$A$4:$A$19,B38,'Cenários de GMD'!$B$4:$B$19,C38)</x:f>
        <x:v>0.8386363636363635</x:v>
      </x:c>
      <x:c r="O38" s="21" t="n">
        <x:f>M38*Insumos!$E$4+N38*Insumos!$E$5</x:f>
        <x:v>2.5119954545454544</x:v>
      </x:c>
      <x:c r="P38" s="21" t="n">
        <x:f>O38*Premissas!$B$7</x:f>
        <x:v>75.35986363636363</x:v>
      </x:c>
      <x:c r="Q38" s="21" t="n">
        <x:f>O38*L38</x:f>
        <x:v>342.5448347107437</x:v>
      </x:c>
      <x:c r="R38" s="21" t="n">
        <x:f>Premissas!$B$7*Premissas!$B$8*L38</x:f>
        <x:v>0</x:v>
      </x:c>
      <x:c r="S38" s="21" t="n">
        <x:f>D38*E38</x:f>
        <x:v>3960</x:v>
      </x:c>
      <x:c r="T38" s="21" t="n">
        <x:f>S38*F38</x:f>
        <x:v>67320</x:v>
      </x:c>
      <x:c r="U38" s="21" t="n">
        <x:f>S38-XLOOKUP(A38,Lotes!$A$4:$A$8,Lotes!$D$4:$D$8,Premissas!$B$9)-Q38-R38</x:f>
        <x:v>1667.4551652892562</x:v>
      </x:c>
      <x:c r="V38" s="21" t="n">
        <x:f>U38*F38</x:f>
        <x:v>28346.737809917355</x:v>
      </x:c>
      <x:c r="W38" s="20" t="n">
        <x:f>IF(S38=0,0,U38/S38)</x:f>
        <x:v>0.42107453668920614</x:v>
      </x:c>
      <x:c r="X38" s="21" t="n">
        <x:f>IF(D38-G38&lt;=0,0,Q38/(D38-G38))</x:f>
        <x:v>97.8699527744982</x:v>
      </x:c>
      <x:c r="Y38" s="20" t="n">
        <x:f>IFERROR(U38/(XLOOKUP(A38,Lotes!$A$4:$A$8,Lotes!$D$4:$D$8,Premissas!$B$9)+Q38+R38),0)</x:f>
        <x:v>0.7273380830083715</x:v>
      </x:c>
      <x:c r="Z38" s="20" t="n">
        <x:f>IF(L38=0,Y38,Y38/MAX(1,L38/Premissas!$B$7))</x:f>
        <x:v>0.16001437826184176</x:v>
      </x:c>
      <x:c r="AA38" s="19" t="str">
        <x:f>IF(L38=0,"Venda imediata",IF(L38&lt;=60,"Baixo",IF(L38&lt;=120,"Médio","Alto")))</x:f>
        <x:v>Alto</x:v>
      </x:c>
      <x:c r="AB38" s="19" t="str">
        <x:f>IF(U38&lt;0,"Não fazer",IF(AA38="Alto","Risco seca",IF(Z38&gt;=0.03,"Bom giro","Margem ok")))</x:f>
        <x:v>Risco seca</x:v>
      </x:c>
    </x:row>
    <x:row r="39">
      <x:c r="A39" s="19" t="str">
        <x:v>Lote maior - base 8,5@</x:v>
      </x:c>
      <x:c r="B39" s="19" t="str">
        <x:v>Intermediária</x:v>
      </x:c>
      <x:c r="C39" s="19" t="str">
        <x:v>Conservador</x:v>
      </x:c>
      <x:c r="D39" s="19" t="n">
        <x:v>8.5</x:v>
      </x:c>
      <x:c r="E39" s="21" t="n">
        <x:f>Premissas!$B$6</x:f>
        <x:v>330</x:v>
      </x:c>
      <x:c r="F39" s="19" t="n">
        <x:f>XLOOKUP(A39,Lotes!$A$4:$A$8,Lotes!$B$4:$B$8,0)</x:f>
        <x:v>17</x:v>
      </x:c>
      <x:c r="G39" s="23" t="n">
        <x:f>XLOOKUP(A39,Lotes!$A$4:$A$8,Lotes!$C$4:$C$8,0)</x:f>
        <x:v>8.5</x:v>
      </x:c>
      <x:c r="H39" s="23" t="n">
        <x:f>G39*Premissas!$B$5/Premissas!$B$4</x:f>
        <x:v>231.8181818181818</x:v>
      </x:c>
      <x:c r="I39" s="23" t="n">
        <x:f>D39*Premissas!$B$5/Premissas!$B$4</x:f>
        <x:v>231.8181818181818</x:v>
      </x:c>
      <x:c r="J39" s="23" t="n">
        <x:f>MAX(0,I39-H39)</x:f>
        <x:v>0</x:v>
      </x:c>
      <x:c r="K39" s="23" t="n">
        <x:f>SUMIFS('Cenários de GMD'!$C$4:$C$19,'Cenários de GMD'!$A$4:$A$19,B39,'Cenários de GMD'!$B$4:$B$19,C39)</x:f>
        <x:v>0.55</x:v>
      </x:c>
      <x:c r="L39" s="23" t="n">
        <x:f>IF(J39=0,0,J39/K39)</x:f>
        <x:v>0</x:v>
      </x:c>
      <x:c r="M39" s="23" t="n">
        <x:f>((H39+I39)/2)*SUMIFS('Cenários de GMD'!$D$4:$D$19,'Cenários de GMD'!$A$4:$A$19,B39,'Cenários de GMD'!$B$4:$B$19,C39)</x:f>
        <x:v>0.2318181818181818</x:v>
      </x:c>
      <x:c r="N39" s="23" t="n">
        <x:f>((H39+I39)/2)*SUMIFS('Cenários de GMD'!$E$4:$E$19,'Cenários de GMD'!$A$4:$A$19,B39,'Cenários de GMD'!$B$4:$B$19,C39)</x:f>
        <x:v>1.1590909090909092</x:v>
      </x:c>
      <x:c r="O39" s="21" t="n">
        <x:f>M39*Insumos!$E$4+N39*Insumos!$E$5</x:f>
        <x:v>3.0026636363636365</x:v>
      </x:c>
      <x:c r="P39" s="21" t="n">
        <x:f>O39*Premissas!$B$7</x:f>
        <x:v>90.0799090909091</x:v>
      </x:c>
      <x:c r="Q39" s="21" t="n">
        <x:f>O39*L39</x:f>
        <x:v>0</x:v>
      </x:c>
      <x:c r="R39" s="21" t="n">
        <x:f>Premissas!$B$7*Premissas!$B$8*L39</x:f>
        <x:v>0</x:v>
      </x:c>
      <x:c r="S39" s="21" t="n">
        <x:f>D39*E39</x:f>
        <x:v>2805</x:v>
      </x:c>
      <x:c r="T39" s="21" t="n">
        <x:f>S39*F39</x:f>
        <x:v>47685</x:v>
      </x:c>
      <x:c r="U39" s="21" t="n">
        <x:f>S39-XLOOKUP(A39,Lotes!$A$4:$A$8,Lotes!$D$4:$D$8,Premissas!$B$9)-Q39-R39</x:f>
        <x:v>855</x:v>
      </x:c>
      <x:c r="V39" s="21" t="n">
        <x:f>U39*F39</x:f>
        <x:v>14535</x:v>
      </x:c>
      <x:c r="W39" s="20" t="n">
        <x:f>IF(S39=0,0,U39/S39)</x:f>
        <x:v>0.3048128342245989</x:v>
      </x:c>
      <x:c r="X39" s="21" t="n">
        <x:f>IF(D39-G39&lt;=0,0,Q39/(D39-G39))</x:f>
        <x:v>0</x:v>
      </x:c>
      <x:c r="Y39" s="20" t="n">
        <x:f>IFERROR(U39/(XLOOKUP(A39,Lotes!$A$4:$A$8,Lotes!$D$4:$D$8,Premissas!$B$9)+Q39+R39),0)</x:f>
        <x:v>0.43846153846153846</x:v>
      </x:c>
      <x:c r="Z39" s="20" t="n">
        <x:f>IF(L39=0,Y39,Y39/MAX(1,L39/Premissas!$B$7))</x:f>
        <x:v>0.43846153846153846</x:v>
      </x:c>
      <x:c r="AA39" s="19" t="str">
        <x:f>IF(L39=0,"Venda imediata",IF(L39&lt;=60,"Baixo",IF(L39&lt;=120,"Médio","Alto")))</x:f>
        <x:v>Venda imediata</x:v>
      </x:c>
      <x:c r="AB39" s="19" t="str">
        <x:f>IF(U39&lt;0,"Não fazer",IF(AA39="Alto","Risco seca",IF(Z39&gt;=0.03,"Bom giro","Margem ok")))</x:f>
        <x:v>Bom giro</x:v>
      </x:c>
    </x:row>
    <x:row r="40">
      <x:c r="A40" s="19" t="str">
        <x:v>Lote maior - base 8,5@</x:v>
      </x:c>
      <x:c r="B40" s="19" t="str">
        <x:v>Intermediária</x:v>
      </x:c>
      <x:c r="C40" s="19" t="str">
        <x:v>Conservador</x:v>
      </x:c>
      <x:c r="D40" s="19" t="n">
        <x:v>9</x:v>
      </x:c>
      <x:c r="E40" s="21" t="n">
        <x:f>Premissas!$B$6</x:f>
        <x:v>330</x:v>
      </x:c>
      <x:c r="F40" s="19" t="n">
        <x:f>XLOOKUP(A40,Lotes!$A$4:$A$8,Lotes!$B$4:$B$8,0)</x:f>
        <x:v>17</x:v>
      </x:c>
      <x:c r="G40" s="23" t="n">
        <x:f>XLOOKUP(A40,Lotes!$A$4:$A$8,Lotes!$C$4:$C$8,0)</x:f>
        <x:v>8.5</x:v>
      </x:c>
      <x:c r="H40" s="23" t="n">
        <x:f>G40*Premissas!$B$5/Premissas!$B$4</x:f>
        <x:v>231.8181818181818</x:v>
      </x:c>
      <x:c r="I40" s="23" t="n">
        <x:f>D40*Premissas!$B$5/Premissas!$B$4</x:f>
        <x:v>245.45454545454544</x:v>
      </x:c>
      <x:c r="J40" s="23" t="n">
        <x:f>MAX(0,I40-H40)</x:f>
        <x:v>13.636363636363626</x:v>
      </x:c>
      <x:c r="K40" s="23" t="n">
        <x:f>SUMIFS('Cenários de GMD'!$C$4:$C$19,'Cenários de GMD'!$A$4:$A$19,B40,'Cenários de GMD'!$B$4:$B$19,C40)</x:f>
        <x:v>0.55</x:v>
      </x:c>
      <x:c r="L40" s="23" t="n">
        <x:f>IF(J40=0,0,J40/K40)</x:f>
        <x:v>24.793388429752046</x:v>
      </x:c>
      <x:c r="M40" s="23" t="n">
        <x:f>((H40+I40)/2)*SUMIFS('Cenários de GMD'!$D$4:$D$19,'Cenários de GMD'!$A$4:$A$19,B40,'Cenários de GMD'!$B$4:$B$19,C40)</x:f>
        <x:v>0.23863636363636362</x:v>
      </x:c>
      <x:c r="N40" s="23" t="n">
        <x:f>((H40+I40)/2)*SUMIFS('Cenários de GMD'!$E$4:$E$19,'Cenários de GMD'!$A$4:$A$19,B40,'Cenários de GMD'!$B$4:$B$19,C40)</x:f>
        <x:v>1.1931818181818181</x:v>
      </x:c>
      <x:c r="O40" s="21" t="n">
        <x:f>M40*Insumos!$E$4+N40*Insumos!$E$5</x:f>
        <x:v>3.0909772727272724</x:v>
      </x:c>
      <x:c r="P40" s="21" t="n">
        <x:f>O40*Premissas!$B$7</x:f>
        <x:v>92.72931818181817</x:v>
      </x:c>
      <x:c r="Q40" s="21" t="n">
        <x:f>O40*L40</x:f>
        <x:v>76.6358001502629</x:v>
      </x:c>
      <x:c r="R40" s="21" t="n">
        <x:f>Premissas!$B$7*Premissas!$B$8*L40</x:f>
        <x:v>0</x:v>
      </x:c>
      <x:c r="S40" s="21" t="n">
        <x:f>D40*E40</x:f>
        <x:v>2970</x:v>
      </x:c>
      <x:c r="T40" s="21" t="n">
        <x:f>S40*F40</x:f>
        <x:v>50490</x:v>
      </x:c>
      <x:c r="U40" s="21" t="n">
        <x:f>S40-XLOOKUP(A40,Lotes!$A$4:$A$8,Lotes!$D$4:$D$8,Premissas!$B$9)-Q40-R40</x:f>
        <x:v>943.3641998497371</x:v>
      </x:c>
      <x:c r="V40" s="21" t="n">
        <x:f>U40*F40</x:f>
        <x:v>16037.191397445531</x:v>
      </x:c>
      <x:c r="W40" s="20" t="n">
        <x:f>IF(S40=0,0,U40/S40)</x:f>
        <x:v>0.3176310437204502</x:v>
      </x:c>
      <x:c r="X40" s="21" t="n">
        <x:f>IF(D40-G40&lt;=0,0,Q40/(D40-G40))</x:f>
        <x:v>153.2716003005258</x:v>
      </x:c>
      <x:c r="Y40" s="20" t="n">
        <x:f>IFERROR(U40/(XLOOKUP(A40,Lotes!$A$4:$A$8,Lotes!$D$4:$D$8,Premissas!$B$9)+Q40+R40),0)</x:f>
        <x:v>0.4654828458965308</x:v>
      </x:c>
      <x:c r="Z40" s="20" t="n">
        <x:f>IF(L40=0,Y40,Y40/MAX(1,L40/Premissas!$B$7))</x:f>
        <x:v>0.4654828458965308</x:v>
      </x:c>
      <x:c r="AA40" s="19" t="str">
        <x:f>IF(L40=0,"Venda imediata",IF(L40&lt;=60,"Baixo",IF(L40&lt;=120,"Médio","Alto")))</x:f>
        <x:v>Baixo</x:v>
      </x:c>
      <x:c r="AB40" s="19" t="str">
        <x:f>IF(U40&lt;0,"Não fazer",IF(AA40="Alto","Risco seca",IF(Z40&gt;=0.03,"Bom giro","Margem ok")))</x:f>
        <x:v>Bom giro</x:v>
      </x:c>
    </x:row>
    <x:row r="41">
      <x:c r="A41" s="19" t="str">
        <x:v>Lote maior - base 8,5@</x:v>
      </x:c>
      <x:c r="B41" s="19" t="str">
        <x:v>Intermediária</x:v>
      </x:c>
      <x:c r="C41" s="19" t="str">
        <x:v>Conservador</x:v>
      </x:c>
      <x:c r="D41" s="19" t="n">
        <x:v>10.5</x:v>
      </x:c>
      <x:c r="E41" s="21" t="n">
        <x:f>Premissas!$B$6</x:f>
        <x:v>330</x:v>
      </x:c>
      <x:c r="F41" s="19" t="n">
        <x:f>XLOOKUP(A41,Lotes!$A$4:$A$8,Lotes!$B$4:$B$8,0)</x:f>
        <x:v>17</x:v>
      </x:c>
      <x:c r="G41" s="23" t="n">
        <x:f>XLOOKUP(A41,Lotes!$A$4:$A$8,Lotes!$C$4:$C$8,0)</x:f>
        <x:v>8.5</x:v>
      </x:c>
      <x:c r="H41" s="23" t="n">
        <x:f>G41*Premissas!$B$5/Premissas!$B$4</x:f>
        <x:v>231.8181818181818</x:v>
      </x:c>
      <x:c r="I41" s="23" t="n">
        <x:f>D41*Premissas!$B$5/Premissas!$B$4</x:f>
        <x:v>286.3636363636363</x:v>
      </x:c>
      <x:c r="J41" s="23" t="n">
        <x:f>MAX(0,I41-H41)</x:f>
        <x:v>54.545454545454504</x:v>
      </x:c>
      <x:c r="K41" s="23" t="n">
        <x:f>SUMIFS('Cenários de GMD'!$C$4:$C$19,'Cenários de GMD'!$A$4:$A$19,B41,'Cenários de GMD'!$B$4:$B$19,C41)</x:f>
        <x:v>0.55</x:v>
      </x:c>
      <x:c r="L41" s="23" t="n">
        <x:f>IF(J41=0,0,J41/K41)</x:f>
        <x:v>99.17355371900818</x:v>
      </x:c>
      <x:c r="M41" s="23" t="n">
        <x:f>((H41+I41)/2)*SUMIFS('Cenários de GMD'!$D$4:$D$19,'Cenários de GMD'!$A$4:$A$19,B41,'Cenários de GMD'!$B$4:$B$19,C41)</x:f>
        <x:v>0.2590909090909091</x:v>
      </x:c>
      <x:c r="N41" s="23" t="n">
        <x:f>((H41+I41)/2)*SUMIFS('Cenários de GMD'!$E$4:$E$19,'Cenários de GMD'!$A$4:$A$19,B41,'Cenários de GMD'!$B$4:$B$19,C41)</x:f>
        <x:v>1.2954545454545454</x:v>
      </x:c>
      <x:c r="O41" s="21" t="n">
        <x:f>M41*Insumos!$E$4+N41*Insumos!$E$5</x:f>
        <x:v>3.355918181818182</x:v>
      </x:c>
      <x:c r="P41" s="21" t="n">
        <x:f>O41*Premissas!$B$7</x:f>
        <x:v>100.67754545454545</x:v>
      </x:c>
      <x:c r="Q41" s="21" t="n">
        <x:f>O41*L41</x:f>
        <x:v>332.8183320811417</x:v>
      </x:c>
      <x:c r="R41" s="21" t="n">
        <x:f>Premissas!$B$7*Premissas!$B$8*L41</x:f>
        <x:v>0</x:v>
      </x:c>
      <x:c r="S41" s="21" t="n">
        <x:f>D41*E41</x:f>
        <x:v>3465</x:v>
      </x:c>
      <x:c r="T41" s="21" t="n">
        <x:f>S41*F41</x:f>
        <x:v>58905</x:v>
      </x:c>
      <x:c r="U41" s="21" t="n">
        <x:f>S41-XLOOKUP(A41,Lotes!$A$4:$A$8,Lotes!$D$4:$D$8,Premissas!$B$9)-Q41-R41</x:f>
        <x:v>1182.1816679188582</x:v>
      </x:c>
      <x:c r="V41" s="21" t="n">
        <x:f>U41*F41</x:f>
        <x:v>20097.08835462059</x:v>
      </x:c>
      <x:c r="W41" s="20" t="n">
        <x:f>IF(S41=0,0,U41/S41)</x:f>
        <x:v>0.341177970539353</x:v>
      </x:c>
      <x:c r="X41" s="21" t="n">
        <x:f>IF(D41-G41&lt;=0,0,Q41/(D41-G41))</x:f>
        <x:v>166.40916604057085</x:v>
      </x:c>
      <x:c r="Y41" s="20" t="n">
        <x:f>IFERROR(U41/(XLOOKUP(A41,Lotes!$A$4:$A$8,Lotes!$D$4:$D$8,Premissas!$B$9)+Q41+R41),0)</x:f>
        <x:v>0.5178605985878504</x:v>
      </x:c>
      <x:c r="Z41" s="20" t="n">
        <x:f>IF(L41=0,Y41,Y41/MAX(1,L41/Premissas!$B$7))</x:f>
        <x:v>0.15665283107282485</x:v>
      </x:c>
      <x:c r="AA41" s="19" t="str">
        <x:f>IF(L41=0,"Venda imediata",IF(L41&lt;=60,"Baixo",IF(L41&lt;=120,"Médio","Alto")))</x:f>
        <x:v>Médio</x:v>
      </x:c>
      <x:c r="AB41" s="19" t="str">
        <x:f>IF(U41&lt;0,"Não fazer",IF(AA41="Alto","Risco seca",IF(Z41&gt;=0.03,"Bom giro","Margem ok")))</x:f>
        <x:v>Bom giro</x:v>
      </x:c>
    </x:row>
    <x:row r="42">
      <x:c r="A42" s="19" t="str">
        <x:v>Lote maior - base 8,5@</x:v>
      </x:c>
      <x:c r="B42" s="19" t="str">
        <x:v>Intermediária</x:v>
      </x:c>
      <x:c r="C42" s="19" t="str">
        <x:v>Conservador</x:v>
      </x:c>
      <x:c r="D42" s="19" t="n">
        <x:v>11</x:v>
      </x:c>
      <x:c r="E42" s="21" t="n">
        <x:f>Premissas!$B$6</x:f>
        <x:v>330</x:v>
      </x:c>
      <x:c r="F42" s="19" t="n">
        <x:f>XLOOKUP(A42,Lotes!$A$4:$A$8,Lotes!$B$4:$B$8,0)</x:f>
        <x:v>17</x:v>
      </x:c>
      <x:c r="G42" s="23" t="n">
        <x:f>XLOOKUP(A42,Lotes!$A$4:$A$8,Lotes!$C$4:$C$8,0)</x:f>
        <x:v>8.5</x:v>
      </x:c>
      <x:c r="H42" s="23" t="n">
        <x:f>G42*Premissas!$B$5/Premissas!$B$4</x:f>
        <x:v>231.8181818181818</x:v>
      </x:c>
      <x:c r="I42" s="23" t="n">
        <x:f>D42*Premissas!$B$5/Premissas!$B$4</x:f>
        <x:v>300</x:v>
      </x:c>
      <x:c r="J42" s="23" t="n">
        <x:f>MAX(0,I42-H42)</x:f>
        <x:v>68.18181818181819</x:v>
      </x:c>
      <x:c r="K42" s="23" t="n">
        <x:f>SUMIFS('Cenários de GMD'!$C$4:$C$19,'Cenários de GMD'!$A$4:$A$19,B42,'Cenários de GMD'!$B$4:$B$19,C42)</x:f>
        <x:v>0.55</x:v>
      </x:c>
      <x:c r="L42" s="23" t="n">
        <x:f>IF(J42=0,0,J42/K42)</x:f>
        <x:v>123.96694214876032</x:v>
      </x:c>
      <x:c r="M42" s="23" t="n">
        <x:f>((H42+I42)/2)*SUMIFS('Cenários de GMD'!$D$4:$D$19,'Cenários de GMD'!$A$4:$A$19,B42,'Cenários de GMD'!$B$4:$B$19,C42)</x:f>
        <x:v>0.2659090909090909</x:v>
      </x:c>
      <x:c r="N42" s="23" t="n">
        <x:f>((H42+I42)/2)*SUMIFS('Cenários de GMD'!$E$4:$E$19,'Cenários de GMD'!$A$4:$A$19,B42,'Cenários de GMD'!$B$4:$B$19,C42)</x:f>
        <x:v>1.3295454545454544</x:v>
      </x:c>
      <x:c r="O42" s="21" t="n">
        <x:f>M42*Insumos!$E$4+N42*Insumos!$E$5</x:f>
        <x:v>3.4442318181818177</x:v>
      </x:c>
      <x:c r="P42" s="21" t="n">
        <x:f>O42*Premissas!$B$7</x:f>
        <x:v>103.32695454545453</x:v>
      </x:c>
      <x:c r="Q42" s="21" t="n">
        <x:f>O42*L42</x:f>
        <x:v>426.97088655146496</x:v>
      </x:c>
      <x:c r="R42" s="21" t="n">
        <x:f>Premissas!$B$7*Premissas!$B$8*L42</x:f>
        <x:v>0</x:v>
      </x:c>
      <x:c r="S42" s="21" t="n">
        <x:f>D42*E42</x:f>
        <x:v>3630</x:v>
      </x:c>
      <x:c r="T42" s="21" t="n">
        <x:f>S42*F42</x:f>
        <x:v>61710</x:v>
      </x:c>
      <x:c r="U42" s="21" t="n">
        <x:f>S42-XLOOKUP(A42,Lotes!$A$4:$A$8,Lotes!$D$4:$D$8,Premissas!$B$9)-Q42-R42</x:f>
        <x:v>1253.029113448535</x:v>
      </x:c>
      <x:c r="V42" s="21" t="n">
        <x:f>U42*F42</x:f>
        <x:v>21301.494928625096</x:v>
      </x:c>
      <x:c r="W42" s="20" t="n">
        <x:f>IF(S42=0,0,U42/S42)</x:f>
        <x:v>0.3451870835946378</x:v>
      </x:c>
      <x:c r="X42" s="21" t="n">
        <x:f>IF(D42-G42&lt;=0,0,Q42/(D42-G42))</x:f>
        <x:v>170.78835462058598</x:v>
      </x:c>
      <x:c r="Y42" s="20" t="n">
        <x:f>IFERROR(U42/(XLOOKUP(A42,Lotes!$A$4:$A$8,Lotes!$D$4:$D$8,Premissas!$B$9)+Q42+R42),0)</x:f>
        <x:v>0.5271537487219472</x:v>
      </x:c>
      <x:c r="Z42" s="20" t="n">
        <x:f>IF(L42=0,Y42,Y42/MAX(1,L42/Premissas!$B$7))</x:f>
        <x:v>0.12757120719071124</x:v>
      </x:c>
      <x:c r="AA42" s="19" t="str">
        <x:f>IF(L42=0,"Venda imediata",IF(L42&lt;=60,"Baixo",IF(L42&lt;=120,"Médio","Alto")))</x:f>
        <x:v>Alto</x:v>
      </x:c>
      <x:c r="AB42" s="19" t="str">
        <x:f>IF(U42&lt;0,"Não fazer",IF(AA42="Alto","Risco seca",IF(Z42&gt;=0.03,"Bom giro","Margem ok")))</x:f>
        <x:v>Risco seca</x:v>
      </x:c>
    </x:row>
    <x:row r="43">
      <x:c r="A43" s="19" t="str">
        <x:v>Lote maior - base 8,5@</x:v>
      </x:c>
      <x:c r="B43" s="19" t="str">
        <x:v>Intermediária</x:v>
      </x:c>
      <x:c r="C43" s="19" t="str">
        <x:v>Conservador</x:v>
      </x:c>
      <x:c r="D43" s="19" t="n">
        <x:v>12</x:v>
      </x:c>
      <x:c r="E43" s="21" t="n">
        <x:f>Premissas!$B$6</x:f>
        <x:v>330</x:v>
      </x:c>
      <x:c r="F43" s="19" t="n">
        <x:f>XLOOKUP(A43,Lotes!$A$4:$A$8,Lotes!$B$4:$B$8,0)</x:f>
        <x:v>17</x:v>
      </x:c>
      <x:c r="G43" s="23" t="n">
        <x:f>XLOOKUP(A43,Lotes!$A$4:$A$8,Lotes!$C$4:$C$8,0)</x:f>
        <x:v>8.5</x:v>
      </x:c>
      <x:c r="H43" s="23" t="n">
        <x:f>G43*Premissas!$B$5/Premissas!$B$4</x:f>
        <x:v>231.8181818181818</x:v>
      </x:c>
      <x:c r="I43" s="23" t="n">
        <x:f>D43*Premissas!$B$5/Premissas!$B$4</x:f>
        <x:v>327.27272727272725</x:v>
      </x:c>
      <x:c r="J43" s="23" t="n">
        <x:f>MAX(0,I43-H43)</x:f>
        <x:v>95.45454545454544</x:v>
      </x:c>
      <x:c r="K43" s="23" t="n">
        <x:f>SUMIFS('Cenários de GMD'!$C$4:$C$19,'Cenários de GMD'!$A$4:$A$19,B43,'Cenários de GMD'!$B$4:$B$19,C43)</x:f>
        <x:v>0.55</x:v>
      </x:c>
      <x:c r="L43" s="23" t="n">
        <x:f>IF(J43=0,0,J43/K43)</x:f>
        <x:v>173.5537190082644</x:v>
      </x:c>
      <x:c r="M43" s="23" t="n">
        <x:f>((H43+I43)/2)*SUMIFS('Cenários de GMD'!$D$4:$D$19,'Cenários de GMD'!$A$4:$A$19,B43,'Cenários de GMD'!$B$4:$B$19,C43)</x:f>
        <x:v>0.2795454545454545</x:v>
      </x:c>
      <x:c r="N43" s="23" t="n">
        <x:f>((H43+I43)/2)*SUMIFS('Cenários de GMD'!$E$4:$E$19,'Cenários de GMD'!$A$4:$A$19,B43,'Cenários de GMD'!$B$4:$B$19,C43)</x:f>
        <x:v>1.3977272727272725</x:v>
      </x:c>
      <x:c r="O43" s="21" t="n">
        <x:f>M43*Insumos!$E$4+N43*Insumos!$E$5</x:f>
        <x:v>3.6208590909090903</x:v>
      </x:c>
      <x:c r="P43" s="21" t="n">
        <x:f>O43*Premissas!$B$7</x:f>
        <x:v>108.6257727272727</x:v>
      </x:c>
      <x:c r="Q43" s="21" t="n">
        <x:f>O43*L43</x:f>
        <x:v>628.413561232156</x:v>
      </x:c>
      <x:c r="R43" s="21" t="n">
        <x:f>Premissas!$B$7*Premissas!$B$8*L43</x:f>
        <x:v>0</x:v>
      </x:c>
      <x:c r="S43" s="21" t="n">
        <x:f>D43*E43</x:f>
        <x:v>3960</x:v>
      </x:c>
      <x:c r="T43" s="21" t="n">
        <x:f>S43*F43</x:f>
        <x:v>67320</x:v>
      </x:c>
      <x:c r="U43" s="21" t="n">
        <x:f>S43-XLOOKUP(A43,Lotes!$A$4:$A$8,Lotes!$D$4:$D$8,Premissas!$B$9)-Q43-R43</x:f>
        <x:v>1381.586438767844</x:v>
      </x:c>
      <x:c r="V43" s="21" t="n">
        <x:f>U43*F43</x:f>
        <x:v>23486.969459053347</x:v>
      </x:c>
      <x:c r="W43" s="20" t="n">
        <x:f>IF(S43=0,0,U43/S43)</x:f>
        <x:v>0.34888546433531414</x:v>
      </x:c>
      <x:c r="X43" s="21" t="n">
        <x:f>IF(D43-G43&lt;=0,0,Q43/(D43-G43))</x:f>
        <x:v>179.546731780616</x:v>
      </x:c>
      <x:c r="Y43" s="20" t="n">
        <x:f>IFERROR(U43/(XLOOKUP(A43,Lotes!$A$4:$A$8,Lotes!$D$4:$D$8,Premissas!$B$9)+Q43+R43),0)</x:f>
        <x:v>0.5358280997046959</x:v>
      </x:c>
      <x:c r="Z43" s="20" t="n">
        <x:f>IF(L43=0,Y43,Y43/MAX(1,L43/Premissas!$B$7))</x:f>
        <x:v>0.09262171437752603</x:v>
      </x:c>
      <x:c r="AA43" s="19" t="str">
        <x:f>IF(L43=0,"Venda imediata",IF(L43&lt;=60,"Baixo",IF(L43&lt;=120,"Médio","Alto")))</x:f>
        <x:v>Alto</x:v>
      </x:c>
      <x:c r="AB43" s="19" t="str">
        <x:f>IF(U43&lt;0,"Não fazer",IF(AA43="Alto","Risco seca",IF(Z43&gt;=0.03,"Bom giro","Margem ok")))</x:f>
        <x:v>Risco seca</x:v>
      </x:c>
    </x:row>
    <x:row r="44">
      <x:c r="A44" s="19" t="str">
        <x:v>Lote maior - base 8,5@</x:v>
      </x:c>
      <x:c r="B44" s="19" t="str">
        <x:v>Intermediária</x:v>
      </x:c>
      <x:c r="C44" s="19" t="str">
        <x:v>Base</x:v>
      </x:c>
      <x:c r="D44" s="19" t="n">
        <x:v>8.5</x:v>
      </x:c>
      <x:c r="E44" s="21" t="n">
        <x:f>Premissas!$B$6</x:f>
        <x:v>330</x:v>
      </x:c>
      <x:c r="F44" s="19" t="n">
        <x:f>XLOOKUP(A44,Lotes!$A$4:$A$8,Lotes!$B$4:$B$8,0)</x:f>
        <x:v>17</x:v>
      </x:c>
      <x:c r="G44" s="23" t="n">
        <x:f>XLOOKUP(A44,Lotes!$A$4:$A$8,Lotes!$C$4:$C$8,0)</x:f>
        <x:v>8.5</x:v>
      </x:c>
      <x:c r="H44" s="23" t="n">
        <x:f>G44*Premissas!$B$5/Premissas!$B$4</x:f>
        <x:v>231.8181818181818</x:v>
      </x:c>
      <x:c r="I44" s="23" t="n">
        <x:f>D44*Premissas!$B$5/Premissas!$B$4</x:f>
        <x:v>231.8181818181818</x:v>
      </x:c>
      <x:c r="J44" s="23" t="n">
        <x:f>MAX(0,I44-H44)</x:f>
        <x:v>0</x:v>
      </x:c>
      <x:c r="K44" s="23" t="n">
        <x:f>SUMIFS('Cenários de GMD'!$C$4:$C$19,'Cenários de GMD'!$A$4:$A$19,B44,'Cenários de GMD'!$B$4:$B$19,C44)</x:f>
        <x:v>0.7</x:v>
      </x:c>
      <x:c r="L44" s="23" t="n">
        <x:f>IF(J44=0,0,J44/K44)</x:f>
        <x:v>0</x:v>
      </x:c>
      <x:c r="M44" s="23" t="n">
        <x:f>((H44+I44)/2)*SUMIFS('Cenários de GMD'!$D$4:$D$19,'Cenários de GMD'!$A$4:$A$19,B44,'Cenários de GMD'!$B$4:$B$19,C44)</x:f>
        <x:v>0.2318181818181818</x:v>
      </x:c>
      <x:c r="N44" s="23" t="n">
        <x:f>((H44+I44)/2)*SUMIFS('Cenários de GMD'!$E$4:$E$19,'Cenários de GMD'!$A$4:$A$19,B44,'Cenários de GMD'!$B$4:$B$19,C44)</x:f>
        <x:v>1.1590909090909092</x:v>
      </x:c>
      <x:c r="O44" s="21" t="n">
        <x:f>M44*Insumos!$E$4+N44*Insumos!$E$5</x:f>
        <x:v>3.0026636363636365</x:v>
      </x:c>
      <x:c r="P44" s="21" t="n">
        <x:f>O44*Premissas!$B$7</x:f>
        <x:v>90.0799090909091</x:v>
      </x:c>
      <x:c r="Q44" s="21" t="n">
        <x:f>O44*L44</x:f>
        <x:v>0</x:v>
      </x:c>
      <x:c r="R44" s="21" t="n">
        <x:f>Premissas!$B$7*Premissas!$B$8*L44</x:f>
        <x:v>0</x:v>
      </x:c>
      <x:c r="S44" s="21" t="n">
        <x:f>D44*E44</x:f>
        <x:v>2805</x:v>
      </x:c>
      <x:c r="T44" s="21" t="n">
        <x:f>S44*F44</x:f>
        <x:v>47685</x:v>
      </x:c>
      <x:c r="U44" s="21" t="n">
        <x:f>S44-XLOOKUP(A44,Lotes!$A$4:$A$8,Lotes!$D$4:$D$8,Premissas!$B$9)-Q44-R44</x:f>
        <x:v>855</x:v>
      </x:c>
      <x:c r="V44" s="21" t="n">
        <x:f>U44*F44</x:f>
        <x:v>14535</x:v>
      </x:c>
      <x:c r="W44" s="20" t="n">
        <x:f>IF(S44=0,0,U44/S44)</x:f>
        <x:v>0.3048128342245989</x:v>
      </x:c>
      <x:c r="X44" s="21" t="n">
        <x:f>IF(D44-G44&lt;=0,0,Q44/(D44-G44))</x:f>
        <x:v>0</x:v>
      </x:c>
      <x:c r="Y44" s="20" t="n">
        <x:f>IFERROR(U44/(XLOOKUP(A44,Lotes!$A$4:$A$8,Lotes!$D$4:$D$8,Premissas!$B$9)+Q44+R44),0)</x:f>
        <x:v>0.43846153846153846</x:v>
      </x:c>
      <x:c r="Z44" s="20" t="n">
        <x:f>IF(L44=0,Y44,Y44/MAX(1,L44/Premissas!$B$7))</x:f>
        <x:v>0.43846153846153846</x:v>
      </x:c>
      <x:c r="AA44" s="19" t="str">
        <x:f>IF(L44=0,"Venda imediata",IF(L44&lt;=60,"Baixo",IF(L44&lt;=120,"Médio","Alto")))</x:f>
        <x:v>Venda imediata</x:v>
      </x:c>
      <x:c r="AB44" s="19" t="str">
        <x:f>IF(U44&lt;0,"Não fazer",IF(AA44="Alto","Risco seca",IF(Z44&gt;=0.03,"Bom giro","Margem ok")))</x:f>
        <x:v>Bom giro</x:v>
      </x:c>
    </x:row>
    <x:row r="45">
      <x:c r="A45" s="19" t="str">
        <x:v>Lote maior - base 8,5@</x:v>
      </x:c>
      <x:c r="B45" s="19" t="str">
        <x:v>Intermediária</x:v>
      </x:c>
      <x:c r="C45" s="19" t="str">
        <x:v>Base</x:v>
      </x:c>
      <x:c r="D45" s="19" t="n">
        <x:v>9</x:v>
      </x:c>
      <x:c r="E45" s="21" t="n">
        <x:f>Premissas!$B$6</x:f>
        <x:v>330</x:v>
      </x:c>
      <x:c r="F45" s="19" t="n">
        <x:f>XLOOKUP(A45,Lotes!$A$4:$A$8,Lotes!$B$4:$B$8,0)</x:f>
        <x:v>17</x:v>
      </x:c>
      <x:c r="G45" s="23" t="n">
        <x:f>XLOOKUP(A45,Lotes!$A$4:$A$8,Lotes!$C$4:$C$8,0)</x:f>
        <x:v>8.5</x:v>
      </x:c>
      <x:c r="H45" s="23" t="n">
        <x:f>G45*Premissas!$B$5/Premissas!$B$4</x:f>
        <x:v>231.8181818181818</x:v>
      </x:c>
      <x:c r="I45" s="23" t="n">
        <x:f>D45*Premissas!$B$5/Premissas!$B$4</x:f>
        <x:v>245.45454545454544</x:v>
      </x:c>
      <x:c r="J45" s="23" t="n">
        <x:f>MAX(0,I45-H45)</x:f>
        <x:v>13.636363636363626</x:v>
      </x:c>
      <x:c r="K45" s="23" t="n">
        <x:f>SUMIFS('Cenários de GMD'!$C$4:$C$19,'Cenários de GMD'!$A$4:$A$19,B45,'Cenários de GMD'!$B$4:$B$19,C45)</x:f>
        <x:v>0.7</x:v>
      </x:c>
      <x:c r="L45" s="23" t="n">
        <x:f>IF(J45=0,0,J45/K45)</x:f>
        <x:v>19.480519480519465</x:v>
      </x:c>
      <x:c r="M45" s="23" t="n">
        <x:f>((H45+I45)/2)*SUMIFS('Cenários de GMD'!$D$4:$D$19,'Cenários de GMD'!$A$4:$A$19,B45,'Cenários de GMD'!$B$4:$B$19,C45)</x:f>
        <x:v>0.23863636363636362</x:v>
      </x:c>
      <x:c r="N45" s="23" t="n">
        <x:f>((H45+I45)/2)*SUMIFS('Cenários de GMD'!$E$4:$E$19,'Cenários de GMD'!$A$4:$A$19,B45,'Cenários de GMD'!$B$4:$B$19,C45)</x:f>
        <x:v>1.1931818181818181</x:v>
      </x:c>
      <x:c r="O45" s="21" t="n">
        <x:f>M45*Insumos!$E$4+N45*Insumos!$E$5</x:f>
        <x:v>3.0909772727272724</x:v>
      </x:c>
      <x:c r="P45" s="21" t="n">
        <x:f>O45*Premissas!$B$7</x:f>
        <x:v>92.72931818181817</x:v>
      </x:c>
      <x:c r="Q45" s="21" t="n">
        <x:f>O45*L45</x:f>
        <x:v>60.21384297520656</x:v>
      </x:c>
      <x:c r="R45" s="21" t="n">
        <x:f>Premissas!$B$7*Premissas!$B$8*L45</x:f>
        <x:v>0</x:v>
      </x:c>
      <x:c r="S45" s="21" t="n">
        <x:f>D45*E45</x:f>
        <x:v>2970</x:v>
      </x:c>
      <x:c r="T45" s="21" t="n">
        <x:f>S45*F45</x:f>
        <x:v>50490</x:v>
      </x:c>
      <x:c r="U45" s="21" t="n">
        <x:f>S45-XLOOKUP(A45,Lotes!$A$4:$A$8,Lotes!$D$4:$D$8,Premissas!$B$9)-Q45-R45</x:f>
        <x:v>959.7861570247934</x:v>
      </x:c>
      <x:c r="V45" s="21" t="n">
        <x:f>U45*F45</x:f>
        <x:v>16316.364669421488</x:v>
      </x:c>
      <x:c r="W45" s="20" t="n">
        <x:f>IF(S45=0,0,U45/S45)</x:f>
        <x:v>0.3231603222305702</x:v>
      </x:c>
      <x:c r="X45" s="21" t="n">
        <x:f>IF(D45-G45&lt;=0,0,Q45/(D45-G45))</x:f>
        <x:v>120.42768595041312</x:v>
      </x:c>
      <x:c r="Y45" s="20" t="n">
        <x:f>IFERROR(U45/(XLOOKUP(A45,Lotes!$A$4:$A$8,Lotes!$D$4:$D$8,Premissas!$B$9)+Q45+R45),0)</x:f>
        <x:v>0.4774547545669405</x:v>
      </x:c>
      <x:c r="Z45" s="20" t="n">
        <x:f>IF(L45=0,Y45,Y45/MAX(1,L45/Premissas!$B$7))</x:f>
        <x:v>0.4774547545669405</x:v>
      </x:c>
      <x:c r="AA45" s="19" t="str">
        <x:f>IF(L45=0,"Venda imediata",IF(L45&lt;=60,"Baixo",IF(L45&lt;=120,"Médio","Alto")))</x:f>
        <x:v>Baixo</x:v>
      </x:c>
      <x:c r="AB45" s="19" t="str">
        <x:f>IF(U45&lt;0,"Não fazer",IF(AA45="Alto","Risco seca",IF(Z45&gt;=0.03,"Bom giro","Margem ok")))</x:f>
        <x:v>Bom giro</x:v>
      </x:c>
    </x:row>
    <x:row r="46">
      <x:c r="A46" s="19" t="str">
        <x:v>Lote maior - base 8,5@</x:v>
      </x:c>
      <x:c r="B46" s="19" t="str">
        <x:v>Intermediária</x:v>
      </x:c>
      <x:c r="C46" s="19" t="str">
        <x:v>Base</x:v>
      </x:c>
      <x:c r="D46" s="19" t="n">
        <x:v>10.5</x:v>
      </x:c>
      <x:c r="E46" s="21" t="n">
        <x:f>Premissas!$B$6</x:f>
        <x:v>330</x:v>
      </x:c>
      <x:c r="F46" s="19" t="n">
        <x:f>XLOOKUP(A46,Lotes!$A$4:$A$8,Lotes!$B$4:$B$8,0)</x:f>
        <x:v>17</x:v>
      </x:c>
      <x:c r="G46" s="23" t="n">
        <x:f>XLOOKUP(A46,Lotes!$A$4:$A$8,Lotes!$C$4:$C$8,0)</x:f>
        <x:v>8.5</x:v>
      </x:c>
      <x:c r="H46" s="23" t="n">
        <x:f>G46*Premissas!$B$5/Premissas!$B$4</x:f>
        <x:v>231.8181818181818</x:v>
      </x:c>
      <x:c r="I46" s="23" t="n">
        <x:f>D46*Premissas!$B$5/Premissas!$B$4</x:f>
        <x:v>286.3636363636363</x:v>
      </x:c>
      <x:c r="J46" s="23" t="n">
        <x:f>MAX(0,I46-H46)</x:f>
        <x:v>54.545454545454504</x:v>
      </x:c>
      <x:c r="K46" s="23" t="n">
        <x:f>SUMIFS('Cenários de GMD'!$C$4:$C$19,'Cenários de GMD'!$A$4:$A$19,B46,'Cenários de GMD'!$B$4:$B$19,C46)</x:f>
        <x:v>0.7</x:v>
      </x:c>
      <x:c r="L46" s="23" t="n">
        <x:f>IF(J46=0,0,J46/K46)</x:f>
        <x:v>77.92207792207786</x:v>
      </x:c>
      <x:c r="M46" s="23" t="n">
        <x:f>((H46+I46)/2)*SUMIFS('Cenários de GMD'!$D$4:$D$19,'Cenários de GMD'!$A$4:$A$19,B46,'Cenários de GMD'!$B$4:$B$19,C46)</x:f>
        <x:v>0.2590909090909091</x:v>
      </x:c>
      <x:c r="N46" s="23" t="n">
        <x:f>((H46+I46)/2)*SUMIFS('Cenários de GMD'!$E$4:$E$19,'Cenários de GMD'!$A$4:$A$19,B46,'Cenários de GMD'!$B$4:$B$19,C46)</x:f>
        <x:v>1.2954545454545454</x:v>
      </x:c>
      <x:c r="O46" s="21" t="n">
        <x:f>M46*Insumos!$E$4+N46*Insumos!$E$5</x:f>
        <x:v>3.355918181818182</x:v>
      </x:c>
      <x:c r="P46" s="21" t="n">
        <x:f>O46*Premissas!$B$7</x:f>
        <x:v>100.67754545454545</x:v>
      </x:c>
      <x:c r="Q46" s="21" t="n">
        <x:f>O46*L46</x:f>
        <x:v>261.5001180637542</x:v>
      </x:c>
      <x:c r="R46" s="21" t="n">
        <x:f>Premissas!$B$7*Premissas!$B$8*L46</x:f>
        <x:v>0</x:v>
      </x:c>
      <x:c r="S46" s="21" t="n">
        <x:f>D46*E46</x:f>
        <x:v>3465</x:v>
      </x:c>
      <x:c r="T46" s="21" t="n">
        <x:f>S46*F46</x:f>
        <x:v>58905</x:v>
      </x:c>
      <x:c r="U46" s="21" t="n">
        <x:f>S46-XLOOKUP(A46,Lotes!$A$4:$A$8,Lotes!$D$4:$D$8,Premissas!$B$9)-Q46-R46</x:f>
        <x:v>1253.4998819362459</x:v>
      </x:c>
      <x:c r="V46" s="21" t="n">
        <x:f>U46*F46</x:f>
        <x:v>21309.49799291618</x:v>
      </x:c>
      <x:c r="W46" s="20" t="n">
        <x:f>IF(S46=0,0,U46/S46)</x:f>
        <x:v>0.3617604276872282</x:v>
      </x:c>
      <x:c r="X46" s="21" t="n">
        <x:f>IF(D46-G46&lt;=0,0,Q46/(D46-G46))</x:f>
        <x:v>130.7500590318771</x:v>
      </x:c>
      <x:c r="Y46" s="20" t="n">
        <x:f>IFERROR(U46/(XLOOKUP(A46,Lotes!$A$4:$A$8,Lotes!$D$4:$D$8,Premissas!$B$9)+Q46+R46),0)</x:f>
        <x:v>0.5668097739165978</x:v>
      </x:c>
      <x:c r="Z46" s="20" t="n">
        <x:f>IF(L46=0,Y46,Y46/MAX(1,L46/Premissas!$B$7))</x:f>
        <x:v>0.21822176295789034</x:v>
      </x:c>
      <x:c r="AA46" s="19" t="str">
        <x:f>IF(L46=0,"Venda imediata",IF(L46&lt;=60,"Baixo",IF(L46&lt;=120,"Médio","Alto")))</x:f>
        <x:v>Médio</x:v>
      </x:c>
      <x:c r="AB46" s="19" t="str">
        <x:f>IF(U46&lt;0,"Não fazer",IF(AA46="Alto","Risco seca",IF(Z46&gt;=0.03,"Bom giro","Margem ok")))</x:f>
        <x:v>Bom giro</x:v>
      </x:c>
    </x:row>
    <x:row r="47">
      <x:c r="A47" s="19" t="str">
        <x:v>Lote maior - base 8,5@</x:v>
      </x:c>
      <x:c r="B47" s="19" t="str">
        <x:v>Intermediária</x:v>
      </x:c>
      <x:c r="C47" s="19" t="str">
        <x:v>Base</x:v>
      </x:c>
      <x:c r="D47" s="19" t="n">
        <x:v>11</x:v>
      </x:c>
      <x:c r="E47" s="21" t="n">
        <x:f>Premissas!$B$6</x:f>
        <x:v>330</x:v>
      </x:c>
      <x:c r="F47" s="19" t="n">
        <x:f>XLOOKUP(A47,Lotes!$A$4:$A$8,Lotes!$B$4:$B$8,0)</x:f>
        <x:v>17</x:v>
      </x:c>
      <x:c r="G47" s="23" t="n">
        <x:f>XLOOKUP(A47,Lotes!$A$4:$A$8,Lotes!$C$4:$C$8,0)</x:f>
        <x:v>8.5</x:v>
      </x:c>
      <x:c r="H47" s="23" t="n">
        <x:f>G47*Premissas!$B$5/Premissas!$B$4</x:f>
        <x:v>231.8181818181818</x:v>
      </x:c>
      <x:c r="I47" s="23" t="n">
        <x:f>D47*Premissas!$B$5/Premissas!$B$4</x:f>
        <x:v>300</x:v>
      </x:c>
      <x:c r="J47" s="23" t="n">
        <x:f>MAX(0,I47-H47)</x:f>
        <x:v>68.18181818181819</x:v>
      </x:c>
      <x:c r="K47" s="23" t="n">
        <x:f>SUMIFS('Cenários de GMD'!$C$4:$C$19,'Cenários de GMD'!$A$4:$A$19,B47,'Cenários de GMD'!$B$4:$B$19,C47)</x:f>
        <x:v>0.7</x:v>
      </x:c>
      <x:c r="L47" s="23" t="n">
        <x:f>IF(J47=0,0,J47/K47)</x:f>
        <x:v>97.40259740259742</x:v>
      </x:c>
      <x:c r="M47" s="23" t="n">
        <x:f>((H47+I47)/2)*SUMIFS('Cenários de GMD'!$D$4:$D$19,'Cenários de GMD'!$A$4:$A$19,B47,'Cenários de GMD'!$B$4:$B$19,C47)</x:f>
        <x:v>0.2659090909090909</x:v>
      </x:c>
      <x:c r="N47" s="23" t="n">
        <x:f>((H47+I47)/2)*SUMIFS('Cenários de GMD'!$E$4:$E$19,'Cenários de GMD'!$A$4:$A$19,B47,'Cenários de GMD'!$B$4:$B$19,C47)</x:f>
        <x:v>1.3295454545454544</x:v>
      </x:c>
      <x:c r="O47" s="21" t="n">
        <x:f>M47*Insumos!$E$4+N47*Insumos!$E$5</x:f>
        <x:v>3.4442318181818177</x:v>
      </x:c>
      <x:c r="P47" s="21" t="n">
        <x:f>O47*Premissas!$B$7</x:f>
        <x:v>103.32695454545453</x:v>
      </x:c>
      <x:c r="Q47" s="21" t="n">
        <x:f>O47*L47</x:f>
        <x:v>335.4771251475797</x:v>
      </x:c>
      <x:c r="R47" s="21" t="n">
        <x:f>Premissas!$B$7*Premissas!$B$8*L47</x:f>
        <x:v>0</x:v>
      </x:c>
      <x:c r="S47" s="21" t="n">
        <x:f>D47*E47</x:f>
        <x:v>3630</x:v>
      </x:c>
      <x:c r="T47" s="21" t="n">
        <x:f>S47*F47</x:f>
        <x:v>61710</x:v>
      </x:c>
      <x:c r="U47" s="21" t="n">
        <x:f>S47-XLOOKUP(A47,Lotes!$A$4:$A$8,Lotes!$D$4:$D$8,Premissas!$B$9)-Q47-R47</x:f>
        <x:v>1344.5228748524203</x:v>
      </x:c>
      <x:c r="V47" s="21" t="n">
        <x:f>U47*F47</x:f>
        <x:v>22856.888872491145</x:v>
      </x:c>
      <x:c r="W47" s="20" t="n">
        <x:f>IF(S47=0,0,U47/S47)</x:f>
        <x:v>0.3703919765433665</x:v>
      </x:c>
      <x:c r="X47" s="21" t="n">
        <x:f>IF(D47-G47&lt;=0,0,Q47/(D47-G47))</x:f>
        <x:v>134.1908500590319</x:v>
      </x:c>
      <x:c r="Y47" s="20" t="n">
        <x:f>IFERROR(U47/(XLOOKUP(A47,Lotes!$A$4:$A$8,Lotes!$D$4:$D$8,Premissas!$B$9)+Q47+R47),0)</x:f>
        <x:v>0.5882897973724418</x:v>
      </x:c>
      <x:c r="Z47" s="20" t="n">
        <x:f>IF(L47=0,Y47,Y47/MAX(1,L47/Premissas!$B$7))</x:f>
        <x:v>0.18119325759071203</x:v>
      </x:c>
      <x:c r="AA47" s="19" t="str">
        <x:f>IF(L47=0,"Venda imediata",IF(L47&lt;=60,"Baixo",IF(L47&lt;=120,"Médio","Alto")))</x:f>
        <x:v>Médio</x:v>
      </x:c>
      <x:c r="AB47" s="19" t="str">
        <x:f>IF(U47&lt;0,"Não fazer",IF(AA47="Alto","Risco seca",IF(Z47&gt;=0.03,"Bom giro","Margem ok")))</x:f>
        <x:v>Bom giro</x:v>
      </x:c>
    </x:row>
    <x:row r="48">
      <x:c r="A48" s="19" t="str">
        <x:v>Lote maior - base 8,5@</x:v>
      </x:c>
      <x:c r="B48" s="19" t="str">
        <x:v>Intermediária</x:v>
      </x:c>
      <x:c r="C48" s="19" t="str">
        <x:v>Base</x:v>
      </x:c>
      <x:c r="D48" s="19" t="n">
        <x:v>12</x:v>
      </x:c>
      <x:c r="E48" s="21" t="n">
        <x:f>Premissas!$B$6</x:f>
        <x:v>330</x:v>
      </x:c>
      <x:c r="F48" s="19" t="n">
        <x:f>XLOOKUP(A48,Lotes!$A$4:$A$8,Lotes!$B$4:$B$8,0)</x:f>
        <x:v>17</x:v>
      </x:c>
      <x:c r="G48" s="23" t="n">
        <x:f>XLOOKUP(A48,Lotes!$A$4:$A$8,Lotes!$C$4:$C$8,0)</x:f>
        <x:v>8.5</x:v>
      </x:c>
      <x:c r="H48" s="23" t="n">
        <x:f>G48*Premissas!$B$5/Premissas!$B$4</x:f>
        <x:v>231.8181818181818</x:v>
      </x:c>
      <x:c r="I48" s="23" t="n">
        <x:f>D48*Premissas!$B$5/Premissas!$B$4</x:f>
        <x:v>327.27272727272725</x:v>
      </x:c>
      <x:c r="J48" s="23" t="n">
        <x:f>MAX(0,I48-H48)</x:f>
        <x:v>95.45454545454544</x:v>
      </x:c>
      <x:c r="K48" s="23" t="n">
        <x:f>SUMIFS('Cenários de GMD'!$C$4:$C$19,'Cenários de GMD'!$A$4:$A$19,B48,'Cenários de GMD'!$B$4:$B$19,C48)</x:f>
        <x:v>0.7</x:v>
      </x:c>
      <x:c r="L48" s="23" t="n">
        <x:f>IF(J48=0,0,J48/K48)</x:f>
        <x:v>136.36363636363635</x:v>
      </x:c>
      <x:c r="M48" s="23" t="n">
        <x:f>((H48+I48)/2)*SUMIFS('Cenários de GMD'!$D$4:$D$19,'Cenários de GMD'!$A$4:$A$19,B48,'Cenários de GMD'!$B$4:$B$19,C48)</x:f>
        <x:v>0.2795454545454545</x:v>
      </x:c>
      <x:c r="N48" s="23" t="n">
        <x:f>((H48+I48)/2)*SUMIFS('Cenários de GMD'!$E$4:$E$19,'Cenários de GMD'!$A$4:$A$19,B48,'Cenários de GMD'!$B$4:$B$19,C48)</x:f>
        <x:v>1.3977272727272725</x:v>
      </x:c>
      <x:c r="O48" s="21" t="n">
        <x:f>M48*Insumos!$E$4+N48*Insumos!$E$5</x:f>
        <x:v>3.6208590909090903</x:v>
      </x:c>
      <x:c r="P48" s="21" t="n">
        <x:f>O48*Premissas!$B$7</x:f>
        <x:v>108.6257727272727</x:v>
      </x:c>
      <x:c r="Q48" s="21" t="n">
        <x:f>O48*L48</x:f>
        <x:v>493.7535123966941</x:v>
      </x:c>
      <x:c r="R48" s="21" t="n">
        <x:f>Premissas!$B$7*Premissas!$B$8*L48</x:f>
        <x:v>0</x:v>
      </x:c>
      <x:c r="S48" s="21" t="n">
        <x:f>D48*E48</x:f>
        <x:v>3960</x:v>
      </x:c>
      <x:c r="T48" s="21" t="n">
        <x:f>S48*F48</x:f>
        <x:v>67320</x:v>
      </x:c>
      <x:c r="U48" s="21" t="n">
        <x:f>S48-XLOOKUP(A48,Lotes!$A$4:$A$8,Lotes!$D$4:$D$8,Premissas!$B$9)-Q48-R48</x:f>
        <x:v>1516.246487603306</x:v>
      </x:c>
      <x:c r="V48" s="21" t="n">
        <x:f>U48*F48</x:f>
        <x:v>25776.1902892562</x:v>
      </x:c>
      <x:c r="W48" s="20" t="n">
        <x:f>IF(S48=0,0,U48/S48)</x:f>
        <x:v>0.382890527172552</x:v>
      </x:c>
      <x:c r="X48" s="21" t="n">
        <x:f>IF(D48-G48&lt;=0,0,Q48/(D48-G48))</x:f>
        <x:v>141.07243211334116</x:v>
      </x:c>
      <x:c r="Y48" s="20" t="n">
        <x:f>IFERROR(U48/(XLOOKUP(A48,Lotes!$A$4:$A$8,Lotes!$D$4:$D$8,Premissas!$B$9)+Q48+R48),0)</x:f>
        <x:v>0.6204580289753764</x:v>
      </x:c>
      <x:c r="Z48" s="20" t="n">
        <x:f>IF(L48=0,Y48,Y48/MAX(1,L48/Premissas!$B$7))</x:f>
        <x:v>0.13650076637458283</x:v>
      </x:c>
      <x:c r="AA48" s="19" t="str">
        <x:f>IF(L48=0,"Venda imediata",IF(L48&lt;=60,"Baixo",IF(L48&lt;=120,"Médio","Alto")))</x:f>
        <x:v>Alto</x:v>
      </x:c>
      <x:c r="AB48" s="19" t="str">
        <x:f>IF(U48&lt;0,"Não fazer",IF(AA48="Alto","Risco seca",IF(Z48&gt;=0.03,"Bom giro","Margem ok")))</x:f>
        <x:v>Risco seca</x:v>
      </x:c>
    </x:row>
    <x:row r="49">
      <x:c r="A49" s="19" t="str">
        <x:v>Lote maior - base 8,5@</x:v>
      </x:c>
      <x:c r="B49" s="19" t="str">
        <x:v>Intermediária</x:v>
      </x:c>
      <x:c r="C49" s="19" t="str">
        <x:v>Bom</x:v>
      </x:c>
      <x:c r="D49" s="19" t="n">
        <x:v>8.5</x:v>
      </x:c>
      <x:c r="E49" s="21" t="n">
        <x:f>Premissas!$B$6</x:f>
        <x:v>330</x:v>
      </x:c>
      <x:c r="F49" s="19" t="n">
        <x:f>XLOOKUP(A49,Lotes!$A$4:$A$8,Lotes!$B$4:$B$8,0)</x:f>
        <x:v>17</x:v>
      </x:c>
      <x:c r="G49" s="23" t="n">
        <x:f>XLOOKUP(A49,Lotes!$A$4:$A$8,Lotes!$C$4:$C$8,0)</x:f>
        <x:v>8.5</x:v>
      </x:c>
      <x:c r="H49" s="23" t="n">
        <x:f>G49*Premissas!$B$5/Premissas!$B$4</x:f>
        <x:v>231.8181818181818</x:v>
      </x:c>
      <x:c r="I49" s="23" t="n">
        <x:f>D49*Premissas!$B$5/Premissas!$B$4</x:f>
        <x:v>231.8181818181818</x:v>
      </x:c>
      <x:c r="J49" s="23" t="n">
        <x:f>MAX(0,I49-H49)</x:f>
        <x:v>0</x:v>
      </x:c>
      <x:c r="K49" s="23" t="n">
        <x:f>SUMIFS('Cenários de GMD'!$C$4:$C$19,'Cenários de GMD'!$A$4:$A$19,B49,'Cenários de GMD'!$B$4:$B$19,C49)</x:f>
        <x:v>0.85</x:v>
      </x:c>
      <x:c r="L49" s="23" t="n">
        <x:f>IF(J49=0,0,J49/K49)</x:f>
        <x:v>0</x:v>
      </x:c>
      <x:c r="M49" s="23" t="n">
        <x:f>((H49+I49)/2)*SUMIFS('Cenários de GMD'!$D$4:$D$19,'Cenários de GMD'!$A$4:$A$19,B49,'Cenários de GMD'!$B$4:$B$19,C49)</x:f>
        <x:v>0.2318181818181818</x:v>
      </x:c>
      <x:c r="N49" s="23" t="n">
        <x:f>((H49+I49)/2)*SUMIFS('Cenários de GMD'!$E$4:$E$19,'Cenários de GMD'!$A$4:$A$19,B49,'Cenários de GMD'!$B$4:$B$19,C49)</x:f>
        <x:v>1.1590909090909092</x:v>
      </x:c>
      <x:c r="O49" s="21" t="n">
        <x:f>M49*Insumos!$E$4+N49*Insumos!$E$5</x:f>
        <x:v>3.0026636363636365</x:v>
      </x:c>
      <x:c r="P49" s="21" t="n">
        <x:f>O49*Premissas!$B$7</x:f>
        <x:v>90.0799090909091</x:v>
      </x:c>
      <x:c r="Q49" s="21" t="n">
        <x:f>O49*L49</x:f>
        <x:v>0</x:v>
      </x:c>
      <x:c r="R49" s="21" t="n">
        <x:f>Premissas!$B$7*Premissas!$B$8*L49</x:f>
        <x:v>0</x:v>
      </x:c>
      <x:c r="S49" s="21" t="n">
        <x:f>D49*E49</x:f>
        <x:v>2805</x:v>
      </x:c>
      <x:c r="T49" s="21" t="n">
        <x:f>S49*F49</x:f>
        <x:v>47685</x:v>
      </x:c>
      <x:c r="U49" s="21" t="n">
        <x:f>S49-XLOOKUP(A49,Lotes!$A$4:$A$8,Lotes!$D$4:$D$8,Premissas!$B$9)-Q49-R49</x:f>
        <x:v>855</x:v>
      </x:c>
      <x:c r="V49" s="21" t="n">
        <x:f>U49*F49</x:f>
        <x:v>14535</x:v>
      </x:c>
      <x:c r="W49" s="20" t="n">
        <x:f>IF(S49=0,0,U49/S49)</x:f>
        <x:v>0.3048128342245989</x:v>
      </x:c>
      <x:c r="X49" s="21" t="n">
        <x:f>IF(D49-G49&lt;=0,0,Q49/(D49-G49))</x:f>
        <x:v>0</x:v>
      </x:c>
      <x:c r="Y49" s="20" t="n">
        <x:f>IFERROR(U49/(XLOOKUP(A49,Lotes!$A$4:$A$8,Lotes!$D$4:$D$8,Premissas!$B$9)+Q49+R49),0)</x:f>
        <x:v>0.43846153846153846</x:v>
      </x:c>
      <x:c r="Z49" s="20" t="n">
        <x:f>IF(L49=0,Y49,Y49/MAX(1,L49/Premissas!$B$7))</x:f>
        <x:v>0.43846153846153846</x:v>
      </x:c>
      <x:c r="AA49" s="19" t="str">
        <x:f>IF(L49=0,"Venda imediata",IF(L49&lt;=60,"Baixo",IF(L49&lt;=120,"Médio","Alto")))</x:f>
        <x:v>Venda imediata</x:v>
      </x:c>
      <x:c r="AB49" s="19" t="str">
        <x:f>IF(U49&lt;0,"Não fazer",IF(AA49="Alto","Risco seca",IF(Z49&gt;=0.03,"Bom giro","Margem ok")))</x:f>
        <x:v>Bom giro</x:v>
      </x:c>
    </x:row>
    <x:row r="50">
      <x:c r="A50" s="19" t="str">
        <x:v>Lote maior - base 8,5@</x:v>
      </x:c>
      <x:c r="B50" s="19" t="str">
        <x:v>Intermediária</x:v>
      </x:c>
      <x:c r="C50" s="19" t="str">
        <x:v>Bom</x:v>
      </x:c>
      <x:c r="D50" s="19" t="n">
        <x:v>9</x:v>
      </x:c>
      <x:c r="E50" s="21" t="n">
        <x:f>Premissas!$B$6</x:f>
        <x:v>330</x:v>
      </x:c>
      <x:c r="F50" s="19" t="n">
        <x:f>XLOOKUP(A50,Lotes!$A$4:$A$8,Lotes!$B$4:$B$8,0)</x:f>
        <x:v>17</x:v>
      </x:c>
      <x:c r="G50" s="23" t="n">
        <x:f>XLOOKUP(A50,Lotes!$A$4:$A$8,Lotes!$C$4:$C$8,0)</x:f>
        <x:v>8.5</x:v>
      </x:c>
      <x:c r="H50" s="23" t="n">
        <x:f>G50*Premissas!$B$5/Premissas!$B$4</x:f>
        <x:v>231.8181818181818</x:v>
      </x:c>
      <x:c r="I50" s="23" t="n">
        <x:f>D50*Premissas!$B$5/Premissas!$B$4</x:f>
        <x:v>245.45454545454544</x:v>
      </x:c>
      <x:c r="J50" s="23" t="n">
        <x:f>MAX(0,I50-H50)</x:f>
        <x:v>13.636363636363626</x:v>
      </x:c>
      <x:c r="K50" s="23" t="n">
        <x:f>SUMIFS('Cenários de GMD'!$C$4:$C$19,'Cenários de GMD'!$A$4:$A$19,B50,'Cenários de GMD'!$B$4:$B$19,C50)</x:f>
        <x:v>0.85</x:v>
      </x:c>
      <x:c r="L50" s="23" t="n">
        <x:f>IF(J50=0,0,J50/K50)</x:f>
        <x:v>16.04278074866309</x:v>
      </x:c>
      <x:c r="M50" s="23" t="n">
        <x:f>((H50+I50)/2)*SUMIFS('Cenários de GMD'!$D$4:$D$19,'Cenários de GMD'!$A$4:$A$19,B50,'Cenários de GMD'!$B$4:$B$19,C50)</x:f>
        <x:v>0.23863636363636362</x:v>
      </x:c>
      <x:c r="N50" s="23" t="n">
        <x:f>((H50+I50)/2)*SUMIFS('Cenários de GMD'!$E$4:$E$19,'Cenários de GMD'!$A$4:$A$19,B50,'Cenários de GMD'!$B$4:$B$19,C50)</x:f>
        <x:v>1.1931818181818181</x:v>
      </x:c>
      <x:c r="O50" s="21" t="n">
        <x:f>M50*Insumos!$E$4+N50*Insumos!$E$5</x:f>
        <x:v>3.0909772727272724</x:v>
      </x:c>
      <x:c r="P50" s="21" t="n">
        <x:f>O50*Premissas!$B$7</x:f>
        <x:v>92.72931818181817</x:v>
      </x:c>
      <x:c r="Q50" s="21" t="n">
        <x:f>O50*L50</x:f>
        <x:v>49.58787068546423</x:v>
      </x:c>
      <x:c r="R50" s="21" t="n">
        <x:f>Premissas!$B$7*Premissas!$B$8*L50</x:f>
        <x:v>0</x:v>
      </x:c>
      <x:c r="S50" s="21" t="n">
        <x:f>D50*E50</x:f>
        <x:v>2970</x:v>
      </x:c>
      <x:c r="T50" s="21" t="n">
        <x:f>S50*F50</x:f>
        <x:v>50490</x:v>
      </x:c>
      <x:c r="U50" s="21" t="n">
        <x:f>S50-XLOOKUP(A50,Lotes!$A$4:$A$8,Lotes!$D$4:$D$8,Premissas!$B$9)-Q50-R50</x:f>
        <x:v>970.4121293145357</x:v>
      </x:c>
      <x:c r="V50" s="21" t="n">
        <x:f>U50*F50</x:f>
        <x:v>16497.006198347106</x:v>
      </x:c>
      <x:c r="W50" s="20" t="n">
        <x:f>IF(S50=0,0,U50/S50)</x:f>
        <x:v>0.32673809067829485</x:v>
      </x:c>
      <x:c r="X50" s="21" t="n">
        <x:f>IF(D50-G50&lt;=0,0,Q50/(D50-G50))</x:f>
        <x:v>99.17574137092846</x:v>
      </x:c>
      <x:c r="Y50" s="20" t="n">
        <x:f>IFERROR(U50/(XLOOKUP(A50,Lotes!$A$4:$A$8,Lotes!$D$4:$D$8,Premissas!$B$9)+Q50+R50),0)</x:f>
        <x:v>0.4853060690860641</x:v>
      </x:c>
      <x:c r="Z50" s="20" t="n">
        <x:f>IF(L50=0,Y50,Y50/MAX(1,L50/Premissas!$B$7))</x:f>
        <x:v>0.4853060690860641</x:v>
      </x:c>
      <x:c r="AA50" s="19" t="str">
        <x:f>IF(L50=0,"Venda imediata",IF(L50&lt;=60,"Baixo",IF(L50&lt;=120,"Médio","Alto")))</x:f>
        <x:v>Baixo</x:v>
      </x:c>
      <x:c r="AB50" s="19" t="str">
        <x:f>IF(U50&lt;0,"Não fazer",IF(AA50="Alto","Risco seca",IF(Z50&gt;=0.03,"Bom giro","Margem ok")))</x:f>
        <x:v>Bom giro</x:v>
      </x:c>
    </x:row>
    <x:row r="51">
      <x:c r="A51" s="19" t="str">
        <x:v>Lote maior - base 8,5@</x:v>
      </x:c>
      <x:c r="B51" s="19" t="str">
        <x:v>Intermediária</x:v>
      </x:c>
      <x:c r="C51" s="19" t="str">
        <x:v>Bom</x:v>
      </x:c>
      <x:c r="D51" s="19" t="n">
        <x:v>10.5</x:v>
      </x:c>
      <x:c r="E51" s="21" t="n">
        <x:f>Premissas!$B$6</x:f>
        <x:v>330</x:v>
      </x:c>
      <x:c r="F51" s="19" t="n">
        <x:f>XLOOKUP(A51,Lotes!$A$4:$A$8,Lotes!$B$4:$B$8,0)</x:f>
        <x:v>17</x:v>
      </x:c>
      <x:c r="G51" s="23" t="n">
        <x:f>XLOOKUP(A51,Lotes!$A$4:$A$8,Lotes!$C$4:$C$8,0)</x:f>
        <x:v>8.5</x:v>
      </x:c>
      <x:c r="H51" s="23" t="n">
        <x:f>G51*Premissas!$B$5/Premissas!$B$4</x:f>
        <x:v>231.8181818181818</x:v>
      </x:c>
      <x:c r="I51" s="23" t="n">
        <x:f>D51*Premissas!$B$5/Premissas!$B$4</x:f>
        <x:v>286.3636363636363</x:v>
      </x:c>
      <x:c r="J51" s="23" t="n">
        <x:f>MAX(0,I51-H51)</x:f>
        <x:v>54.545454545454504</x:v>
      </x:c>
      <x:c r="K51" s="23" t="n">
        <x:f>SUMIFS('Cenários de GMD'!$C$4:$C$19,'Cenários de GMD'!$A$4:$A$19,B51,'Cenários de GMD'!$B$4:$B$19,C51)</x:f>
        <x:v>0.85</x:v>
      </x:c>
      <x:c r="L51" s="23" t="n">
        <x:f>IF(J51=0,0,J51/K51)</x:f>
        <x:v>64.17112299465236</x:v>
      </x:c>
      <x:c r="M51" s="23" t="n">
        <x:f>((H51+I51)/2)*SUMIFS('Cenários de GMD'!$D$4:$D$19,'Cenários de GMD'!$A$4:$A$19,B51,'Cenários de GMD'!$B$4:$B$19,C51)</x:f>
        <x:v>0.2590909090909091</x:v>
      </x:c>
      <x:c r="N51" s="23" t="n">
        <x:f>((H51+I51)/2)*SUMIFS('Cenários de GMD'!$E$4:$E$19,'Cenários de GMD'!$A$4:$A$19,B51,'Cenários de GMD'!$B$4:$B$19,C51)</x:f>
        <x:v>1.2954545454545454</x:v>
      </x:c>
      <x:c r="O51" s="21" t="n">
        <x:f>M51*Insumos!$E$4+N51*Insumos!$E$5</x:f>
        <x:v>3.355918181818182</x:v>
      </x:c>
      <x:c r="P51" s="21" t="n">
        <x:f>O51*Premissas!$B$7</x:f>
        <x:v>100.67754545454545</x:v>
      </x:c>
      <x:c r="Q51" s="21" t="n">
        <x:f>O51*L51</x:f>
        <x:v>215.3530384054447</x:v>
      </x:c>
      <x:c r="R51" s="21" t="n">
        <x:f>Premissas!$B$7*Premissas!$B$8*L51</x:f>
        <x:v>0</x:v>
      </x:c>
      <x:c r="S51" s="21" t="n">
        <x:f>D51*E51</x:f>
        <x:v>3465</x:v>
      </x:c>
      <x:c r="T51" s="21" t="n">
        <x:f>S51*F51</x:f>
        <x:v>58905</x:v>
      </x:c>
      <x:c r="U51" s="21" t="n">
        <x:f>S51-XLOOKUP(A51,Lotes!$A$4:$A$8,Lotes!$D$4:$D$8,Premissas!$B$9)-Q51-R51</x:f>
        <x:v>1299.6469615945553</x:v>
      </x:c>
      <x:c r="V51" s="21" t="n">
        <x:f>U51*F51</x:f>
        <x:v>22093.998347107437</x:v>
      </x:c>
      <x:c r="W51" s="20" t="n">
        <x:f>IF(S51=0,0,U51/S51)</x:f>
        <x:v>0.3750784881946768</x:v>
      </x:c>
      <x:c r="X51" s="21" t="n">
        <x:f>IF(D51-G51&lt;=0,0,Q51/(D51-G51))</x:f>
        <x:v>107.67651920272235</x:v>
      </x:c>
      <x:c r="Y51" s="20" t="n">
        <x:f>IFERROR(U51/(XLOOKUP(A51,Lotes!$A$4:$A$8,Lotes!$D$4:$D$8,Premissas!$B$9)+Q51+R51),0)</x:f>
        <x:v>0.6002009550145267</x:v>
      </x:c>
      <x:c r="Z51" s="20" t="n">
        <x:f>IF(L51=0,Y51,Y51/MAX(1,L51/Premissas!$B$7))</x:f>
        <x:v>0.2805939464692914</x:v>
      </x:c>
      <x:c r="AA51" s="19" t="str">
        <x:f>IF(L51=0,"Venda imediata",IF(L51&lt;=60,"Baixo",IF(L51&lt;=120,"Médio","Alto")))</x:f>
        <x:v>Médio</x:v>
      </x:c>
      <x:c r="AB51" s="19" t="str">
        <x:f>IF(U51&lt;0,"Não fazer",IF(AA51="Alto","Risco seca",IF(Z51&gt;=0.03,"Bom giro","Margem ok")))</x:f>
        <x:v>Bom giro</x:v>
      </x:c>
    </x:row>
    <x:row r="52">
      <x:c r="A52" s="19" t="str">
        <x:v>Lote maior - base 8,5@</x:v>
      </x:c>
      <x:c r="B52" s="19" t="str">
        <x:v>Intermediária</x:v>
      </x:c>
      <x:c r="C52" s="19" t="str">
        <x:v>Bom</x:v>
      </x:c>
      <x:c r="D52" s="19" t="n">
        <x:v>11</x:v>
      </x:c>
      <x:c r="E52" s="21" t="n">
        <x:f>Premissas!$B$6</x:f>
        <x:v>330</x:v>
      </x:c>
      <x:c r="F52" s="19" t="n">
        <x:f>XLOOKUP(A52,Lotes!$A$4:$A$8,Lotes!$B$4:$B$8,0)</x:f>
        <x:v>17</x:v>
      </x:c>
      <x:c r="G52" s="23" t="n">
        <x:f>XLOOKUP(A52,Lotes!$A$4:$A$8,Lotes!$C$4:$C$8,0)</x:f>
        <x:v>8.5</x:v>
      </x:c>
      <x:c r="H52" s="23" t="n">
        <x:f>G52*Premissas!$B$5/Premissas!$B$4</x:f>
        <x:v>231.8181818181818</x:v>
      </x:c>
      <x:c r="I52" s="23" t="n">
        <x:f>D52*Premissas!$B$5/Premissas!$B$4</x:f>
        <x:v>300</x:v>
      </x:c>
      <x:c r="J52" s="23" t="n">
        <x:f>MAX(0,I52-H52)</x:f>
        <x:v>68.18181818181819</x:v>
      </x:c>
      <x:c r="K52" s="23" t="n">
        <x:f>SUMIFS('Cenários de GMD'!$C$4:$C$19,'Cenários de GMD'!$A$4:$A$19,B52,'Cenários de GMD'!$B$4:$B$19,C52)</x:f>
        <x:v>0.85</x:v>
      </x:c>
      <x:c r="L52" s="23" t="n">
        <x:f>IF(J52=0,0,J52/K52)</x:f>
        <x:v>80.21390374331551</x:v>
      </x:c>
      <x:c r="M52" s="23" t="n">
        <x:f>((H52+I52)/2)*SUMIFS('Cenários de GMD'!$D$4:$D$19,'Cenários de GMD'!$A$4:$A$19,B52,'Cenários de GMD'!$B$4:$B$19,C52)</x:f>
        <x:v>0.2659090909090909</x:v>
      </x:c>
      <x:c r="N52" s="23" t="n">
        <x:f>((H52+I52)/2)*SUMIFS('Cenários de GMD'!$E$4:$E$19,'Cenários de GMD'!$A$4:$A$19,B52,'Cenários de GMD'!$B$4:$B$19,C52)</x:f>
        <x:v>1.3295454545454544</x:v>
      </x:c>
      <x:c r="O52" s="21" t="n">
        <x:f>M52*Insumos!$E$4+N52*Insumos!$E$5</x:f>
        <x:v>3.4442318181818177</x:v>
      </x:c>
      <x:c r="P52" s="21" t="n">
        <x:f>O52*Premissas!$B$7</x:f>
        <x:v>103.32695454545453</x:v>
      </x:c>
      <x:c r="Q52" s="21" t="n">
        <x:f>O52*L52</x:f>
        <x:v>276.2752795333009</x:v>
      </x:c>
      <x:c r="R52" s="21" t="n">
        <x:f>Premissas!$B$7*Premissas!$B$8*L52</x:f>
        <x:v>0</x:v>
      </x:c>
      <x:c r="S52" s="21" t="n">
        <x:f>D52*E52</x:f>
        <x:v>3630</x:v>
      </x:c>
      <x:c r="T52" s="21" t="n">
        <x:f>S52*F52</x:f>
        <x:v>61710</x:v>
      </x:c>
      <x:c r="U52" s="21" t="n">
        <x:f>S52-XLOOKUP(A52,Lotes!$A$4:$A$8,Lotes!$D$4:$D$8,Premissas!$B$9)-Q52-R52</x:f>
        <x:v>1403.7247204666992</x:v>
      </x:c>
      <x:c r="V52" s="21" t="n">
        <x:f>U52*F52</x:f>
        <x:v>23863.320247933887</x:v>
      </x:c>
      <x:c r="W52" s="20" t="n">
        <x:f>IF(S52=0,0,U52/S52)</x:f>
        <x:v>0.3867010249219557</x:v>
      </x:c>
      <x:c r="X52" s="21" t="n">
        <x:f>IF(D52-G52&lt;=0,0,Q52/(D52-G52))</x:f>
        <x:v>110.51011181332035</x:v>
      </x:c>
      <x:c r="Y52" s="20" t="n">
        <x:f>IFERROR(U52/(XLOOKUP(A52,Lotes!$A$4:$A$8,Lotes!$D$4:$D$8,Premissas!$B$9)+Q52+R52),0)</x:f>
        <x:v>0.6305261228795414</x:v>
      </x:c>
      <x:c r="Z52" s="20" t="n">
        <x:f>IF(L52=0,Y52,Y52/MAX(1,L52/Premissas!$B$7))</x:f>
        <x:v>0.23581676995694847</x:v>
      </x:c>
      <x:c r="AA52" s="19" t="str">
        <x:f>IF(L52=0,"Venda imediata",IF(L52&lt;=60,"Baixo",IF(L52&lt;=120,"Médio","Alto")))</x:f>
        <x:v>Médio</x:v>
      </x:c>
      <x:c r="AB52" s="19" t="str">
        <x:f>IF(U52&lt;0,"Não fazer",IF(AA52="Alto","Risco seca",IF(Z52&gt;=0.03,"Bom giro","Margem ok")))</x:f>
        <x:v>Bom giro</x:v>
      </x:c>
    </x:row>
    <x:row r="53">
      <x:c r="A53" s="19" t="str">
        <x:v>Lote maior - base 8,5@</x:v>
      </x:c>
      <x:c r="B53" s="19" t="str">
        <x:v>Intermediária</x:v>
      </x:c>
      <x:c r="C53" s="19" t="str">
        <x:v>Bom</x:v>
      </x:c>
      <x:c r="D53" s="19" t="n">
        <x:v>12</x:v>
      </x:c>
      <x:c r="E53" s="21" t="n">
        <x:f>Premissas!$B$6</x:f>
        <x:v>330</x:v>
      </x:c>
      <x:c r="F53" s="19" t="n">
        <x:f>XLOOKUP(A53,Lotes!$A$4:$A$8,Lotes!$B$4:$B$8,0)</x:f>
        <x:v>17</x:v>
      </x:c>
      <x:c r="G53" s="23" t="n">
        <x:f>XLOOKUP(A53,Lotes!$A$4:$A$8,Lotes!$C$4:$C$8,0)</x:f>
        <x:v>8.5</x:v>
      </x:c>
      <x:c r="H53" s="23" t="n">
        <x:f>G53*Premissas!$B$5/Premissas!$B$4</x:f>
        <x:v>231.8181818181818</x:v>
      </x:c>
      <x:c r="I53" s="23" t="n">
        <x:f>D53*Premissas!$B$5/Premissas!$B$4</x:f>
        <x:v>327.27272727272725</x:v>
      </x:c>
      <x:c r="J53" s="23" t="n">
        <x:f>MAX(0,I53-H53)</x:f>
        <x:v>95.45454545454544</x:v>
      </x:c>
      <x:c r="K53" s="23" t="n">
        <x:f>SUMIFS('Cenários de GMD'!$C$4:$C$19,'Cenários de GMD'!$A$4:$A$19,B53,'Cenários de GMD'!$B$4:$B$19,C53)</x:f>
        <x:v>0.85</x:v>
      </x:c>
      <x:c r="L53" s="23" t="n">
        <x:f>IF(J53=0,0,J53/K53)</x:f>
        <x:v>112.2994652406417</x:v>
      </x:c>
      <x:c r="M53" s="23" t="n">
        <x:f>((H53+I53)/2)*SUMIFS('Cenários de GMD'!$D$4:$D$19,'Cenários de GMD'!$A$4:$A$19,B53,'Cenários de GMD'!$B$4:$B$19,C53)</x:f>
        <x:v>0.2795454545454545</x:v>
      </x:c>
      <x:c r="N53" s="23" t="n">
        <x:f>((H53+I53)/2)*SUMIFS('Cenários de GMD'!$E$4:$E$19,'Cenários de GMD'!$A$4:$A$19,B53,'Cenários de GMD'!$B$4:$B$19,C53)</x:f>
        <x:v>1.3977272727272725</x:v>
      </x:c>
      <x:c r="O53" s="21" t="n">
        <x:f>M53*Insumos!$E$4+N53*Insumos!$E$5</x:f>
        <x:v>3.6208590909090903</x:v>
      </x:c>
      <x:c r="P53" s="21" t="n">
        <x:f>O53*Premissas!$B$7</x:f>
        <x:v>108.6257727272727</x:v>
      </x:c>
      <x:c r="Q53" s="21" t="n">
        <x:f>O53*L53</x:f>
        <x:v>406.6205396208069</x:v>
      </x:c>
      <x:c r="R53" s="21" t="n">
        <x:f>Premissas!$B$7*Premissas!$B$8*L53</x:f>
        <x:v>0</x:v>
      </x:c>
      <x:c r="S53" s="21" t="n">
        <x:f>D53*E53</x:f>
        <x:v>3960</x:v>
      </x:c>
      <x:c r="T53" s="21" t="n">
        <x:f>S53*F53</x:f>
        <x:v>67320</x:v>
      </x:c>
      <x:c r="U53" s="21" t="n">
        <x:f>S53-XLOOKUP(A53,Lotes!$A$4:$A$8,Lotes!$D$4:$D$8,Premissas!$B$9)-Q53-R53</x:f>
        <x:v>1603.379460379193</x:v>
      </x:c>
      <x:c r="V53" s="21" t="n">
        <x:f>U53*F53</x:f>
        <x:v>27257.450826446282</x:v>
      </x:c>
      <x:c r="W53" s="20" t="n">
        <x:f>IF(S53=0,0,U53/S53)</x:f>
        <x:v>0.4048938031260588</x:v>
      </x:c>
      <x:c r="X53" s="21" t="n">
        <x:f>IF(D53-G53&lt;=0,0,Q53/(D53-G53))</x:f>
        <x:v>116.17729703451626</x:v>
      </x:c>
      <x:c r="Y53" s="20" t="n">
        <x:f>IFERROR(U53/(XLOOKUP(A53,Lotes!$A$4:$A$8,Lotes!$D$4:$D$8,Premissas!$B$9)+Q53+R53),0)</x:f>
        <x:v>0.6803723524522898</x:v>
      </x:c>
      <x:c r="Z53" s="20" t="n">
        <x:f>IF(L53=0,Y53,Y53/MAX(1,L53/Premissas!$B$7))</x:f>
        <x:v>0.1817566141551117</x:v>
      </x:c>
      <x:c r="AA53" s="19" t="str">
        <x:f>IF(L53=0,"Venda imediata",IF(L53&lt;=60,"Baixo",IF(L53&lt;=120,"Médio","Alto")))</x:f>
        <x:v>Médio</x:v>
      </x:c>
      <x:c r="AB53" s="19" t="str">
        <x:f>IF(U53&lt;0,"Não fazer",IF(AA53="Alto","Risco seca",IF(Z53&gt;=0.03,"Bom giro","Margem ok")))</x:f>
        <x:v>Bom giro</x:v>
      </x:c>
    </x:row>
    <x:row r="54">
      <x:c r="A54" s="19" t="str">
        <x:v>Lote maior - base 8,5@</x:v>
      </x:c>
      <x:c r="B54" s="19" t="str">
        <x:v>Intermediária</x:v>
      </x:c>
      <x:c r="C54" s="19" t="str">
        <x:v>Ótimo</x:v>
      </x:c>
      <x:c r="D54" s="19" t="n">
        <x:v>8.5</x:v>
      </x:c>
      <x:c r="E54" s="21" t="n">
        <x:f>Premissas!$B$6</x:f>
        <x:v>330</x:v>
      </x:c>
      <x:c r="F54" s="19" t="n">
        <x:f>XLOOKUP(A54,Lotes!$A$4:$A$8,Lotes!$B$4:$B$8,0)</x:f>
        <x:v>17</x:v>
      </x:c>
      <x:c r="G54" s="23" t="n">
        <x:f>XLOOKUP(A54,Lotes!$A$4:$A$8,Lotes!$C$4:$C$8,0)</x:f>
        <x:v>8.5</x:v>
      </x:c>
      <x:c r="H54" s="23" t="n">
        <x:f>G54*Premissas!$B$5/Premissas!$B$4</x:f>
        <x:v>231.8181818181818</x:v>
      </x:c>
      <x:c r="I54" s="23" t="n">
        <x:f>D54*Premissas!$B$5/Premissas!$B$4</x:f>
        <x:v>231.8181818181818</x:v>
      </x:c>
      <x:c r="J54" s="23" t="n">
        <x:f>MAX(0,I54-H54)</x:f>
        <x:v>0</x:v>
      </x:c>
      <x:c r="K54" s="23" t="n">
        <x:f>SUMIFS('Cenários de GMD'!$C$4:$C$19,'Cenários de GMD'!$A$4:$A$19,B54,'Cenários de GMD'!$B$4:$B$19,C54)</x:f>
        <x:v>0.95</x:v>
      </x:c>
      <x:c r="L54" s="23" t="n">
        <x:f>IF(J54=0,0,J54/K54)</x:f>
        <x:v>0</x:v>
      </x:c>
      <x:c r="M54" s="23" t="n">
        <x:f>((H54+I54)/2)*SUMIFS('Cenários de GMD'!$D$4:$D$19,'Cenários de GMD'!$A$4:$A$19,B54,'Cenários de GMD'!$B$4:$B$19,C54)</x:f>
        <x:v>0.2318181818181818</x:v>
      </x:c>
      <x:c r="N54" s="23" t="n">
        <x:f>((H54+I54)/2)*SUMIFS('Cenários de GMD'!$E$4:$E$19,'Cenários de GMD'!$A$4:$A$19,B54,'Cenários de GMD'!$B$4:$B$19,C54)</x:f>
        <x:v>1.1590909090909092</x:v>
      </x:c>
      <x:c r="O54" s="21" t="n">
        <x:f>M54*Insumos!$E$4+N54*Insumos!$E$5</x:f>
        <x:v>3.0026636363636365</x:v>
      </x:c>
      <x:c r="P54" s="21" t="n">
        <x:f>O54*Premissas!$B$7</x:f>
        <x:v>90.0799090909091</x:v>
      </x:c>
      <x:c r="Q54" s="21" t="n">
        <x:f>O54*L54</x:f>
        <x:v>0</x:v>
      </x:c>
      <x:c r="R54" s="21" t="n">
        <x:f>Premissas!$B$7*Premissas!$B$8*L54</x:f>
        <x:v>0</x:v>
      </x:c>
      <x:c r="S54" s="21" t="n">
        <x:f>D54*E54</x:f>
        <x:v>2805</x:v>
      </x:c>
      <x:c r="T54" s="21" t="n">
        <x:f>S54*F54</x:f>
        <x:v>47685</x:v>
      </x:c>
      <x:c r="U54" s="21" t="n">
        <x:f>S54-XLOOKUP(A54,Lotes!$A$4:$A$8,Lotes!$D$4:$D$8,Premissas!$B$9)-Q54-R54</x:f>
        <x:v>855</x:v>
      </x:c>
      <x:c r="V54" s="21" t="n">
        <x:f>U54*F54</x:f>
        <x:v>14535</x:v>
      </x:c>
      <x:c r="W54" s="20" t="n">
        <x:f>IF(S54=0,0,U54/S54)</x:f>
        <x:v>0.3048128342245989</x:v>
      </x:c>
      <x:c r="X54" s="21" t="n">
        <x:f>IF(D54-G54&lt;=0,0,Q54/(D54-G54))</x:f>
        <x:v>0</x:v>
      </x:c>
      <x:c r="Y54" s="20" t="n">
        <x:f>IFERROR(U54/(XLOOKUP(A54,Lotes!$A$4:$A$8,Lotes!$D$4:$D$8,Premissas!$B$9)+Q54+R54),0)</x:f>
        <x:v>0.43846153846153846</x:v>
      </x:c>
      <x:c r="Z54" s="20" t="n">
        <x:f>IF(L54=0,Y54,Y54/MAX(1,L54/Premissas!$B$7))</x:f>
        <x:v>0.43846153846153846</x:v>
      </x:c>
      <x:c r="AA54" s="19" t="str">
        <x:f>IF(L54=0,"Venda imediata",IF(L54&lt;=60,"Baixo",IF(L54&lt;=120,"Médio","Alto")))</x:f>
        <x:v>Venda imediata</x:v>
      </x:c>
      <x:c r="AB54" s="19" t="str">
        <x:f>IF(U54&lt;0,"Não fazer",IF(AA54="Alto","Risco seca",IF(Z54&gt;=0.03,"Bom giro","Margem ok")))</x:f>
        <x:v>Bom giro</x:v>
      </x:c>
    </x:row>
    <x:row r="55">
      <x:c r="A55" s="19" t="str">
        <x:v>Lote maior - base 8,5@</x:v>
      </x:c>
      <x:c r="B55" s="19" t="str">
        <x:v>Intermediária</x:v>
      </x:c>
      <x:c r="C55" s="19" t="str">
        <x:v>Ótimo</x:v>
      </x:c>
      <x:c r="D55" s="19" t="n">
        <x:v>9</x:v>
      </x:c>
      <x:c r="E55" s="21" t="n">
        <x:f>Premissas!$B$6</x:f>
        <x:v>330</x:v>
      </x:c>
      <x:c r="F55" s="19" t="n">
        <x:f>XLOOKUP(A55,Lotes!$A$4:$A$8,Lotes!$B$4:$B$8,0)</x:f>
        <x:v>17</x:v>
      </x:c>
      <x:c r="G55" s="23" t="n">
        <x:f>XLOOKUP(A55,Lotes!$A$4:$A$8,Lotes!$C$4:$C$8,0)</x:f>
        <x:v>8.5</x:v>
      </x:c>
      <x:c r="H55" s="23" t="n">
        <x:f>G55*Premissas!$B$5/Premissas!$B$4</x:f>
        <x:v>231.8181818181818</x:v>
      </x:c>
      <x:c r="I55" s="23" t="n">
        <x:f>D55*Premissas!$B$5/Premissas!$B$4</x:f>
        <x:v>245.45454545454544</x:v>
      </x:c>
      <x:c r="J55" s="23" t="n">
        <x:f>MAX(0,I55-H55)</x:f>
        <x:v>13.636363636363626</x:v>
      </x:c>
      <x:c r="K55" s="23" t="n">
        <x:f>SUMIFS('Cenários de GMD'!$C$4:$C$19,'Cenários de GMD'!$A$4:$A$19,B55,'Cenários de GMD'!$B$4:$B$19,C55)</x:f>
        <x:v>0.95</x:v>
      </x:c>
      <x:c r="L55" s="23" t="n">
        <x:f>IF(J55=0,0,J55/K55)</x:f>
        <x:v>14.354066985645924</x:v>
      </x:c>
      <x:c r="M55" s="23" t="n">
        <x:f>((H55+I55)/2)*SUMIFS('Cenários de GMD'!$D$4:$D$19,'Cenários de GMD'!$A$4:$A$19,B55,'Cenários de GMD'!$B$4:$B$19,C55)</x:f>
        <x:v>0.23863636363636362</x:v>
      </x:c>
      <x:c r="N55" s="23" t="n">
        <x:f>((H55+I55)/2)*SUMIFS('Cenários de GMD'!$E$4:$E$19,'Cenários de GMD'!$A$4:$A$19,B55,'Cenários de GMD'!$B$4:$B$19,C55)</x:f>
        <x:v>1.1931818181818181</x:v>
      </x:c>
      <x:c r="O55" s="21" t="n">
        <x:f>M55*Insumos!$E$4+N55*Insumos!$E$5</x:f>
        <x:v>3.0909772727272724</x:v>
      </x:c>
      <x:c r="P55" s="21" t="n">
        <x:f>O55*Premissas!$B$7</x:f>
        <x:v>92.72931818181817</x:v>
      </x:c>
      <x:c r="Q55" s="21" t="n">
        <x:f>O55*L55</x:f>
        <x:v>44.368094823836415</x:v>
      </x:c>
      <x:c r="R55" s="21" t="n">
        <x:f>Premissas!$B$7*Premissas!$B$8*L55</x:f>
        <x:v>0</x:v>
      </x:c>
      <x:c r="S55" s="21" t="n">
        <x:f>D55*E55</x:f>
        <x:v>2970</x:v>
      </x:c>
      <x:c r="T55" s="21" t="n">
        <x:f>S55*F55</x:f>
        <x:v>50490</x:v>
      </x:c>
      <x:c r="U55" s="21" t="n">
        <x:f>S55-XLOOKUP(A55,Lotes!$A$4:$A$8,Lotes!$D$4:$D$8,Premissas!$B$9)-Q55-R55</x:f>
        <x:v>975.6319051761636</x:v>
      </x:c>
      <x:c r="V55" s="21" t="n">
        <x:f>U55*F55</x:f>
        <x:v>16585.742387994782</x:v>
      </x:c>
      <x:c r="W55" s="20" t="n">
        <x:f>IF(S55=0,0,U55/S55)</x:f>
        <x:v>0.32849559096840525</x:v>
      </x:c>
      <x:c r="X55" s="21" t="n">
        <x:f>IF(D55-G55&lt;=0,0,Q55/(D55-G55))</x:f>
        <x:v>88.73618964767283</x:v>
      </x:c>
      <x:c r="Y55" s="20" t="n">
        <x:f>IFERROR(U55/(XLOOKUP(A55,Lotes!$A$4:$A$8,Lotes!$D$4:$D$8,Premissas!$B$9)+Q55+R55),0)</x:f>
        <x:v>0.4891934982856521</x:v>
      </x:c>
      <x:c r="Z55" s="20" t="n">
        <x:f>IF(L55=0,Y55,Y55/MAX(1,L55/Premissas!$B$7))</x:f>
        <x:v>0.4891934982856521</x:v>
      </x:c>
      <x:c r="AA55" s="19" t="str">
        <x:f>IF(L55=0,"Venda imediata",IF(L55&lt;=60,"Baixo",IF(L55&lt;=120,"Médio","Alto")))</x:f>
        <x:v>Baixo</x:v>
      </x:c>
      <x:c r="AB55" s="19" t="str">
        <x:f>IF(U55&lt;0,"Não fazer",IF(AA55="Alto","Risco seca",IF(Z55&gt;=0.03,"Bom giro","Margem ok")))</x:f>
        <x:v>Bom giro</x:v>
      </x:c>
    </x:row>
    <x:row r="56">
      <x:c r="A56" s="19" t="str">
        <x:v>Lote maior - base 8,5@</x:v>
      </x:c>
      <x:c r="B56" s="19" t="str">
        <x:v>Intermediária</x:v>
      </x:c>
      <x:c r="C56" s="19" t="str">
        <x:v>Ótimo</x:v>
      </x:c>
      <x:c r="D56" s="19" t="n">
        <x:v>10.5</x:v>
      </x:c>
      <x:c r="E56" s="21" t="n">
        <x:f>Premissas!$B$6</x:f>
        <x:v>330</x:v>
      </x:c>
      <x:c r="F56" s="19" t="n">
        <x:f>XLOOKUP(A56,Lotes!$A$4:$A$8,Lotes!$B$4:$B$8,0)</x:f>
        <x:v>17</x:v>
      </x:c>
      <x:c r="G56" s="23" t="n">
        <x:f>XLOOKUP(A56,Lotes!$A$4:$A$8,Lotes!$C$4:$C$8,0)</x:f>
        <x:v>8.5</x:v>
      </x:c>
      <x:c r="H56" s="23" t="n">
        <x:f>G56*Premissas!$B$5/Premissas!$B$4</x:f>
        <x:v>231.8181818181818</x:v>
      </x:c>
      <x:c r="I56" s="23" t="n">
        <x:f>D56*Premissas!$B$5/Premissas!$B$4</x:f>
        <x:v>286.3636363636363</x:v>
      </x:c>
      <x:c r="J56" s="23" t="n">
        <x:f>MAX(0,I56-H56)</x:f>
        <x:v>54.545454545454504</x:v>
      </x:c>
      <x:c r="K56" s="23" t="n">
        <x:f>SUMIFS('Cenários de GMD'!$C$4:$C$19,'Cenários de GMD'!$A$4:$A$19,B56,'Cenários de GMD'!$B$4:$B$19,C56)</x:f>
        <x:v>0.95</x:v>
      </x:c>
      <x:c r="L56" s="23" t="n">
        <x:f>IF(J56=0,0,J56/K56)</x:f>
        <x:v>57.416267942583694</x:v>
      </x:c>
      <x:c r="M56" s="23" t="n">
        <x:f>((H56+I56)/2)*SUMIFS('Cenários de GMD'!$D$4:$D$19,'Cenários de GMD'!$A$4:$A$19,B56,'Cenários de GMD'!$B$4:$B$19,C56)</x:f>
        <x:v>0.2590909090909091</x:v>
      </x:c>
      <x:c r="N56" s="23" t="n">
        <x:f>((H56+I56)/2)*SUMIFS('Cenários de GMD'!$E$4:$E$19,'Cenários de GMD'!$A$4:$A$19,B56,'Cenários de GMD'!$B$4:$B$19,C56)</x:f>
        <x:v>1.2954545454545454</x:v>
      </x:c>
      <x:c r="O56" s="21" t="n">
        <x:f>M56*Insumos!$E$4+N56*Insumos!$E$5</x:f>
        <x:v>3.355918181818182</x:v>
      </x:c>
      <x:c r="P56" s="21" t="n">
        <x:f>O56*Premissas!$B$7</x:f>
        <x:v>100.67754545454545</x:v>
      </x:c>
      <x:c r="Q56" s="21" t="n">
        <x:f>O56*L56</x:f>
        <x:v>192.68429752066103</x:v>
      </x:c>
      <x:c r="R56" s="21" t="n">
        <x:f>Premissas!$B$7*Premissas!$B$8*L56</x:f>
        <x:v>0</x:v>
      </x:c>
      <x:c r="S56" s="21" t="n">
        <x:f>D56*E56</x:f>
        <x:v>3465</x:v>
      </x:c>
      <x:c r="T56" s="21" t="n">
        <x:f>S56*F56</x:f>
        <x:v>58905</x:v>
      </x:c>
      <x:c r="U56" s="21" t="n">
        <x:f>S56-XLOOKUP(A56,Lotes!$A$4:$A$8,Lotes!$D$4:$D$8,Premissas!$B$9)-Q56-R56</x:f>
        <x:v>1322.315702479339</x:v>
      </x:c>
      <x:c r="V56" s="21" t="n">
        <x:f>U56*F56</x:f>
        <x:v>22479.366942148765</x:v>
      </x:c>
      <x:c r="W56" s="20" t="n">
        <x:f>IF(S56=0,0,U56/S56)</x:f>
        <x:v>0.3816206933562306</x:v>
      </x:c>
      <x:c r="X56" s="21" t="n">
        <x:f>IF(D56-G56&lt;=0,0,Q56/(D56-G56))</x:f>
        <x:v>96.34214876033052</x:v>
      </x:c>
      <x:c r="Y56" s="20" t="n">
        <x:f>IFERROR(U56/(XLOOKUP(A56,Lotes!$A$4:$A$8,Lotes!$D$4:$D$8,Premissas!$B$9)+Q56+R56),0)</x:f>
        <x:v>0.6171304396123193</x:v>
      </x:c>
      <x:c r="Z56" s="20" t="n">
        <x:f>IF(L56=0,Y56,Y56/MAX(1,L56/Premissas!$B$7))</x:f>
        <x:v>0.32245065469743706</x:v>
      </x:c>
      <x:c r="AA56" s="19" t="str">
        <x:f>IF(L56=0,"Venda imediata",IF(L56&lt;=60,"Baixo",IF(L56&lt;=120,"Médio","Alto")))</x:f>
        <x:v>Baixo</x:v>
      </x:c>
      <x:c r="AB56" s="19" t="str">
        <x:f>IF(U56&lt;0,"Não fazer",IF(AA56="Alto","Risco seca",IF(Z56&gt;=0.03,"Bom giro","Margem ok")))</x:f>
        <x:v>Bom giro</x:v>
      </x:c>
    </x:row>
    <x:row r="57">
      <x:c r="A57" s="19" t="str">
        <x:v>Lote maior - base 8,5@</x:v>
      </x:c>
      <x:c r="B57" s="19" t="str">
        <x:v>Intermediária</x:v>
      </x:c>
      <x:c r="C57" s="19" t="str">
        <x:v>Ótimo</x:v>
      </x:c>
      <x:c r="D57" s="19" t="n">
        <x:v>11</x:v>
      </x:c>
      <x:c r="E57" s="21" t="n">
        <x:f>Premissas!$B$6</x:f>
        <x:v>330</x:v>
      </x:c>
      <x:c r="F57" s="19" t="n">
        <x:f>XLOOKUP(A57,Lotes!$A$4:$A$8,Lotes!$B$4:$B$8,0)</x:f>
        <x:v>17</x:v>
      </x:c>
      <x:c r="G57" s="23" t="n">
        <x:f>XLOOKUP(A57,Lotes!$A$4:$A$8,Lotes!$C$4:$C$8,0)</x:f>
        <x:v>8.5</x:v>
      </x:c>
      <x:c r="H57" s="23" t="n">
        <x:f>G57*Premissas!$B$5/Premissas!$B$4</x:f>
        <x:v>231.8181818181818</x:v>
      </x:c>
      <x:c r="I57" s="23" t="n">
        <x:f>D57*Premissas!$B$5/Premissas!$B$4</x:f>
        <x:v>300</x:v>
      </x:c>
      <x:c r="J57" s="23" t="n">
        <x:f>MAX(0,I57-H57)</x:f>
        <x:v>68.18181818181819</x:v>
      </x:c>
      <x:c r="K57" s="23" t="n">
        <x:f>SUMIFS('Cenários de GMD'!$C$4:$C$19,'Cenários de GMD'!$A$4:$A$19,B57,'Cenários de GMD'!$B$4:$B$19,C57)</x:f>
        <x:v>0.95</x:v>
      </x:c>
      <x:c r="L57" s="23" t="n">
        <x:f>IF(J57=0,0,J57/K57)</x:f>
        <x:v>71.77033492822967</x:v>
      </x:c>
      <x:c r="M57" s="23" t="n">
        <x:f>((H57+I57)/2)*SUMIFS('Cenários de GMD'!$D$4:$D$19,'Cenários de GMD'!$A$4:$A$19,B57,'Cenários de GMD'!$B$4:$B$19,C57)</x:f>
        <x:v>0.2659090909090909</x:v>
      </x:c>
      <x:c r="N57" s="23" t="n">
        <x:f>((H57+I57)/2)*SUMIFS('Cenários de GMD'!$E$4:$E$19,'Cenários de GMD'!$A$4:$A$19,B57,'Cenários de GMD'!$B$4:$B$19,C57)</x:f>
        <x:v>1.3295454545454544</x:v>
      </x:c>
      <x:c r="O57" s="21" t="n">
        <x:f>M57*Insumos!$E$4+N57*Insumos!$E$5</x:f>
        <x:v>3.4442318181818177</x:v>
      </x:c>
      <x:c r="P57" s="21" t="n">
        <x:f>O57*Premissas!$B$7</x:f>
        <x:v>103.32695454545453</x:v>
      </x:c>
      <x:c r="Q57" s="21" t="n">
        <x:f>O57*L57</x:f>
        <x:v>247.1936711613745</x:v>
      </x:c>
      <x:c r="R57" s="21" t="n">
        <x:f>Premissas!$B$7*Premissas!$B$8*L57</x:f>
        <x:v>0</x:v>
      </x:c>
      <x:c r="S57" s="21" t="n">
        <x:f>D57*E57</x:f>
        <x:v>3630</x:v>
      </x:c>
      <x:c r="T57" s="21" t="n">
        <x:f>S57*F57</x:f>
        <x:v>61710</x:v>
      </x:c>
      <x:c r="U57" s="21" t="n">
        <x:f>S57-XLOOKUP(A57,Lotes!$A$4:$A$8,Lotes!$D$4:$D$8,Premissas!$B$9)-Q57-R57</x:f>
        <x:v>1432.8063288386254</x:v>
      </x:c>
      <x:c r="V57" s="21" t="n">
        <x:f>U57*F57</x:f>
        <x:v>24357.707590256632</x:v>
      </x:c>
      <x:c r="W57" s="20" t="n">
        <x:f>IF(S57=0,0,U57/S57)</x:f>
        <x:v>0.3947124872833679</x:v>
      </x:c>
      <x:c r="X57" s="21" t="n">
        <x:f>IF(D57-G57&lt;=0,0,Q57/(D57-G57))</x:f>
        <x:v>98.8774684645498</x:v>
      </x:c>
      <x:c r="Y57" s="20" t="n">
        <x:f>IFERROR(U57/(XLOOKUP(A57,Lotes!$A$4:$A$8,Lotes!$D$4:$D$8,Premissas!$B$9)+Q57+R57),0)</x:f>
        <x:v>0.6521074348813706</x:v>
      </x:c>
      <x:c r="Z57" s="20" t="n">
        <x:f>IF(L57=0,Y57,Y57/MAX(1,L57/Premissas!$B$7))</x:f>
        <x:v>0.2725809077804129</x:v>
      </x:c>
      <x:c r="AA57" s="19" t="str">
        <x:f>IF(L57=0,"Venda imediata",IF(L57&lt;=60,"Baixo",IF(L57&lt;=120,"Médio","Alto")))</x:f>
        <x:v>Médio</x:v>
      </x:c>
      <x:c r="AB57" s="19" t="str">
        <x:f>IF(U57&lt;0,"Não fazer",IF(AA57="Alto","Risco seca",IF(Z57&gt;=0.03,"Bom giro","Margem ok")))</x:f>
        <x:v>Bom giro</x:v>
      </x:c>
    </x:row>
    <x:row r="58">
      <x:c r="A58" s="19" t="str">
        <x:v>Lote maior - base 8,5@</x:v>
      </x:c>
      <x:c r="B58" s="19" t="str">
        <x:v>Intermediária</x:v>
      </x:c>
      <x:c r="C58" s="19" t="str">
        <x:v>Ótimo</x:v>
      </x:c>
      <x:c r="D58" s="19" t="n">
        <x:v>12</x:v>
      </x:c>
      <x:c r="E58" s="21" t="n">
        <x:f>Premissas!$B$6</x:f>
        <x:v>330</x:v>
      </x:c>
      <x:c r="F58" s="19" t="n">
        <x:f>XLOOKUP(A58,Lotes!$A$4:$A$8,Lotes!$B$4:$B$8,0)</x:f>
        <x:v>17</x:v>
      </x:c>
      <x:c r="G58" s="23" t="n">
        <x:f>XLOOKUP(A58,Lotes!$A$4:$A$8,Lotes!$C$4:$C$8,0)</x:f>
        <x:v>8.5</x:v>
      </x:c>
      <x:c r="H58" s="23" t="n">
        <x:f>G58*Premissas!$B$5/Premissas!$B$4</x:f>
        <x:v>231.8181818181818</x:v>
      </x:c>
      <x:c r="I58" s="23" t="n">
        <x:f>D58*Premissas!$B$5/Premissas!$B$4</x:f>
        <x:v>327.27272727272725</x:v>
      </x:c>
      <x:c r="J58" s="23" t="n">
        <x:f>MAX(0,I58-H58)</x:f>
        <x:v>95.45454545454544</x:v>
      </x:c>
      <x:c r="K58" s="23" t="n">
        <x:f>SUMIFS('Cenários de GMD'!$C$4:$C$19,'Cenários de GMD'!$A$4:$A$19,B58,'Cenários de GMD'!$B$4:$B$19,C58)</x:f>
        <x:v>0.95</x:v>
      </x:c>
      <x:c r="L58" s="23" t="n">
        <x:f>IF(J58=0,0,J58/K58)</x:f>
        <x:v>100.47846889952152</x:v>
      </x:c>
      <x:c r="M58" s="23" t="n">
        <x:f>((H58+I58)/2)*SUMIFS('Cenários de GMD'!$D$4:$D$19,'Cenários de GMD'!$A$4:$A$19,B58,'Cenários de GMD'!$B$4:$B$19,C58)</x:f>
        <x:v>0.2795454545454545</x:v>
      </x:c>
      <x:c r="N58" s="23" t="n">
        <x:f>((H58+I58)/2)*SUMIFS('Cenários de GMD'!$E$4:$E$19,'Cenários de GMD'!$A$4:$A$19,B58,'Cenários de GMD'!$B$4:$B$19,C58)</x:f>
        <x:v>1.3977272727272725</x:v>
      </x:c>
      <x:c r="O58" s="21" t="n">
        <x:f>M58*Insumos!$E$4+N58*Insumos!$E$5</x:f>
        <x:v>3.6208590909090903</x:v>
      </x:c>
      <x:c r="P58" s="21" t="n">
        <x:f>O58*Premissas!$B$7</x:f>
        <x:v>108.6257727272727</x:v>
      </x:c>
      <x:c r="Q58" s="21" t="n">
        <x:f>O58*L58</x:f>
        <x:v>363.81837755545877</x:v>
      </x:c>
      <x:c r="R58" s="21" t="n">
        <x:f>Premissas!$B$7*Premissas!$B$8*L58</x:f>
        <x:v>0</x:v>
      </x:c>
      <x:c r="S58" s="21" t="n">
        <x:f>D58*E58</x:f>
        <x:v>3960</x:v>
      </x:c>
      <x:c r="T58" s="21" t="n">
        <x:f>S58*F58</x:f>
        <x:v>67320</x:v>
      </x:c>
      <x:c r="U58" s="21" t="n">
        <x:f>S58-XLOOKUP(A58,Lotes!$A$4:$A$8,Lotes!$D$4:$D$8,Premissas!$B$9)-Q58-R58</x:f>
        <x:v>1646.1816224445413</x:v>
      </x:c>
      <x:c r="V58" s="21" t="n">
        <x:f>U58*F58</x:f>
        <x:v>27985.087581557204</x:v>
      </x:c>
      <x:c r="W58" s="20" t="n">
        <x:f>IF(S58=0,0,U58/S58)</x:f>
        <x:v>0.4157024299102377</x:v>
      </x:c>
      <x:c r="X58" s="21" t="n">
        <x:f>IF(D58-G58&lt;=0,0,Q58/(D58-G58))</x:f>
        <x:v>103.94810787298822</x:v>
      </x:c>
      <x:c r="Y58" s="20" t="n">
        <x:f>IFERROR(U58/(XLOOKUP(A58,Lotes!$A$4:$A$8,Lotes!$D$4:$D$8,Premissas!$B$9)+Q58+R58),0)</x:f>
        <x:v>0.7114567151911579</x:v>
      </x:c>
      <x:c r="Z58" s="20" t="n">
        <x:f>IF(L58=0,Y58,Y58/MAX(1,L58/Premissas!$B$7))</x:f>
        <x:v>0.21242064782136003</x:v>
      </x:c>
      <x:c r="AA58" s="19" t="str">
        <x:f>IF(L58=0,"Venda imediata",IF(L58&lt;=60,"Baixo",IF(L58&lt;=120,"Médio","Alto")))</x:f>
        <x:v>Médio</x:v>
      </x:c>
      <x:c r="AB58" s="19" t="str">
        <x:f>IF(U58&lt;0,"Não fazer",IF(AA58="Alto","Risco seca",IF(Z58&gt;=0.03,"Bom giro","Margem ok")))</x:f>
        <x:v>Bom giro</x:v>
      </x:c>
    </x:row>
    <x:row r="59">
      <x:c r="A59" s="19" t="str">
        <x:v>Lote maior - base 8,5@</x:v>
      </x:c>
      <x:c r="B59" s="19" t="str">
        <x:v>Agressiva</x:v>
      </x:c>
      <x:c r="C59" s="19" t="str">
        <x:v>Conservador</x:v>
      </x:c>
      <x:c r="D59" s="19" t="n">
        <x:v>8.5</x:v>
      </x:c>
      <x:c r="E59" s="21" t="n">
        <x:f>Premissas!$B$6</x:f>
        <x:v>330</x:v>
      </x:c>
      <x:c r="F59" s="19" t="n">
        <x:f>XLOOKUP(A59,Lotes!$A$4:$A$8,Lotes!$B$4:$B$8,0)</x:f>
        <x:v>17</x:v>
      </x:c>
      <x:c r="G59" s="23" t="n">
        <x:f>XLOOKUP(A59,Lotes!$A$4:$A$8,Lotes!$C$4:$C$8,0)</x:f>
        <x:v>8.5</x:v>
      </x:c>
      <x:c r="H59" s="23" t="n">
        <x:f>G59*Premissas!$B$5/Premissas!$B$4</x:f>
        <x:v>231.8181818181818</x:v>
      </x:c>
      <x:c r="I59" s="23" t="n">
        <x:f>D59*Premissas!$B$5/Premissas!$B$4</x:f>
        <x:v>231.8181818181818</x:v>
      </x:c>
      <x:c r="J59" s="23" t="n">
        <x:f>MAX(0,I59-H59)</x:f>
        <x:v>0</x:v>
      </x:c>
      <x:c r="K59" s="23" t="n">
        <x:f>SUMIFS('Cenários de GMD'!$C$4:$C$19,'Cenários de GMD'!$A$4:$A$19,B59,'Cenários de GMD'!$B$4:$B$19,C59)</x:f>
        <x:v>0.7</x:v>
      </x:c>
      <x:c r="L59" s="23" t="n">
        <x:f>IF(J59=0,0,J59/K59)</x:f>
        <x:v>0</x:v>
      </x:c>
      <x:c r="M59" s="23" t="n">
        <x:f>((H59+I59)/2)*SUMIFS('Cenários de GMD'!$D$4:$D$19,'Cenários de GMD'!$A$4:$A$19,B59,'Cenários de GMD'!$B$4:$B$19,C59)</x:f>
        <x:v>0.2318181818181818</x:v>
      </x:c>
      <x:c r="N59" s="23" t="n">
        <x:f>((H59+I59)/2)*SUMIFS('Cenários de GMD'!$E$4:$E$19,'Cenários de GMD'!$A$4:$A$19,B59,'Cenários de GMD'!$B$4:$B$19,C59)</x:f>
        <x:v>1.6227272727272728</x:v>
      </x:c>
      <x:c r="O59" s="21" t="n">
        <x:f>M59*Insumos!$E$4+N59*Insumos!$E$5</x:f>
        <x:v>3.9222090909090914</x:v>
      </x:c>
      <x:c r="P59" s="21" t="n">
        <x:f>O59*Premissas!$B$7</x:f>
        <x:v>117.66627272727274</x:v>
      </x:c>
      <x:c r="Q59" s="21" t="n">
        <x:f>O59*L59</x:f>
        <x:v>0</x:v>
      </x:c>
      <x:c r="R59" s="21" t="n">
        <x:f>Premissas!$B$7*Premissas!$B$8*L59</x:f>
        <x:v>0</x:v>
      </x:c>
      <x:c r="S59" s="21" t="n">
        <x:f>D59*E59</x:f>
        <x:v>2805</x:v>
      </x:c>
      <x:c r="T59" s="21" t="n">
        <x:f>S59*F59</x:f>
        <x:v>47685</x:v>
      </x:c>
      <x:c r="U59" s="21" t="n">
        <x:f>S59-XLOOKUP(A59,Lotes!$A$4:$A$8,Lotes!$D$4:$D$8,Premissas!$B$9)-Q59-R59</x:f>
        <x:v>855</x:v>
      </x:c>
      <x:c r="V59" s="21" t="n">
        <x:f>U59*F59</x:f>
        <x:v>14535</x:v>
      </x:c>
      <x:c r="W59" s="20" t="n">
        <x:f>IF(S59=0,0,U59/S59)</x:f>
        <x:v>0.3048128342245989</x:v>
      </x:c>
      <x:c r="X59" s="21" t="n">
        <x:f>IF(D59-G59&lt;=0,0,Q59/(D59-G59))</x:f>
        <x:v>0</x:v>
      </x:c>
      <x:c r="Y59" s="20" t="n">
        <x:f>IFERROR(U59/(XLOOKUP(A59,Lotes!$A$4:$A$8,Lotes!$D$4:$D$8,Premissas!$B$9)+Q59+R59),0)</x:f>
        <x:v>0.43846153846153846</x:v>
      </x:c>
      <x:c r="Z59" s="20" t="n">
        <x:f>IF(L59=0,Y59,Y59/MAX(1,L59/Premissas!$B$7))</x:f>
        <x:v>0.43846153846153846</x:v>
      </x:c>
      <x:c r="AA59" s="19" t="str">
        <x:f>IF(L59=0,"Venda imediata",IF(L59&lt;=60,"Baixo",IF(L59&lt;=120,"Médio","Alto")))</x:f>
        <x:v>Venda imediata</x:v>
      </x:c>
      <x:c r="AB59" s="19" t="str">
        <x:f>IF(U59&lt;0,"Não fazer",IF(AA59="Alto","Risco seca",IF(Z59&gt;=0.03,"Bom giro","Margem ok")))</x:f>
        <x:v>Bom giro</x:v>
      </x:c>
    </x:row>
    <x:row r="60">
      <x:c r="A60" s="19" t="str">
        <x:v>Lote maior - base 8,5@</x:v>
      </x:c>
      <x:c r="B60" s="19" t="str">
        <x:v>Agressiva</x:v>
      </x:c>
      <x:c r="C60" s="19" t="str">
        <x:v>Conservador</x:v>
      </x:c>
      <x:c r="D60" s="19" t="n">
        <x:v>9</x:v>
      </x:c>
      <x:c r="E60" s="21" t="n">
        <x:f>Premissas!$B$6</x:f>
        <x:v>330</x:v>
      </x:c>
      <x:c r="F60" s="19" t="n">
        <x:f>XLOOKUP(A60,Lotes!$A$4:$A$8,Lotes!$B$4:$B$8,0)</x:f>
        <x:v>17</x:v>
      </x:c>
      <x:c r="G60" s="23" t="n">
        <x:f>XLOOKUP(A60,Lotes!$A$4:$A$8,Lotes!$C$4:$C$8,0)</x:f>
        <x:v>8.5</x:v>
      </x:c>
      <x:c r="H60" s="23" t="n">
        <x:f>G60*Premissas!$B$5/Premissas!$B$4</x:f>
        <x:v>231.8181818181818</x:v>
      </x:c>
      <x:c r="I60" s="23" t="n">
        <x:f>D60*Premissas!$B$5/Premissas!$B$4</x:f>
        <x:v>245.45454545454544</x:v>
      </x:c>
      <x:c r="J60" s="23" t="n">
        <x:f>MAX(0,I60-H60)</x:f>
        <x:v>13.636363636363626</x:v>
      </x:c>
      <x:c r="K60" s="23" t="n">
        <x:f>SUMIFS('Cenários de GMD'!$C$4:$C$19,'Cenários de GMD'!$A$4:$A$19,B60,'Cenários de GMD'!$B$4:$B$19,C60)</x:f>
        <x:v>0.7</x:v>
      </x:c>
      <x:c r="L60" s="23" t="n">
        <x:f>IF(J60=0,0,J60/K60)</x:f>
        <x:v>19.480519480519465</x:v>
      </x:c>
      <x:c r="M60" s="23" t="n">
        <x:f>((H60+I60)/2)*SUMIFS('Cenários de GMD'!$D$4:$D$19,'Cenários de GMD'!$A$4:$A$19,B60,'Cenários de GMD'!$B$4:$B$19,C60)</x:f>
        <x:v>0.23863636363636362</x:v>
      </x:c>
      <x:c r="N60" s="23" t="n">
        <x:f>((H60+I60)/2)*SUMIFS('Cenários de GMD'!$E$4:$E$19,'Cenários de GMD'!$A$4:$A$19,B60,'Cenários de GMD'!$B$4:$B$19,C60)</x:f>
        <x:v>1.6704545454545454</x:v>
      </x:c>
      <x:c r="O60" s="21" t="n">
        <x:f>M60*Insumos!$E$4+N60*Insumos!$E$5</x:f>
        <x:v>4.037568181818182</x:v>
      </x:c>
      <x:c r="P60" s="21" t="n">
        <x:f>O60*Premissas!$B$7</x:f>
        <x:v>121.12704545454547</x:v>
      </x:c>
      <x:c r="Q60" s="21" t="n">
        <x:f>O60*L60</x:f>
        <x:v>78.65392561983465</x:v>
      </x:c>
      <x:c r="R60" s="21" t="n">
        <x:f>Premissas!$B$7*Premissas!$B$8*L60</x:f>
        <x:v>0</x:v>
      </x:c>
      <x:c r="S60" s="21" t="n">
        <x:f>D60*E60</x:f>
        <x:v>2970</x:v>
      </x:c>
      <x:c r="T60" s="21" t="n">
        <x:f>S60*F60</x:f>
        <x:v>50490</x:v>
      </x:c>
      <x:c r="U60" s="21" t="n">
        <x:f>S60-XLOOKUP(A60,Lotes!$A$4:$A$8,Lotes!$D$4:$D$8,Premissas!$B$9)-Q60-R60</x:f>
        <x:v>941.3460743801653</x:v>
      </x:c>
      <x:c r="V60" s="21" t="n">
        <x:f>U60*F60</x:f>
        <x:v>16002.883264462811</x:v>
      </x:c>
      <x:c r="W60" s="20" t="n">
        <x:f>IF(S60=0,0,U60/S60)</x:f>
        <x:v>0.31695154019534183</x:v>
      </x:c>
      <x:c r="X60" s="21" t="n">
        <x:f>IF(D60-G60&lt;=0,0,Q60/(D60-G60))</x:f>
        <x:v>157.3078512396693</x:v>
      </x:c>
      <x:c r="Y60" s="20" t="n">
        <x:f>IFERROR(U60/(XLOOKUP(A60,Lotes!$A$4:$A$8,Lotes!$D$4:$D$8,Premissas!$B$9)+Q60+R60),0)</x:f>
        <x:v>0.4640249687203531</x:v>
      </x:c>
      <x:c r="Z60" s="20" t="n">
        <x:f>IF(L60=0,Y60,Y60/MAX(1,L60/Premissas!$B$7))</x:f>
        <x:v>0.4640249687203531</x:v>
      </x:c>
      <x:c r="AA60" s="19" t="str">
        <x:f>IF(L60=0,"Venda imediata",IF(L60&lt;=60,"Baixo",IF(L60&lt;=120,"Médio","Alto")))</x:f>
        <x:v>Baixo</x:v>
      </x:c>
      <x:c r="AB60" s="19" t="str">
        <x:f>IF(U60&lt;0,"Não fazer",IF(AA60="Alto","Risco seca",IF(Z60&gt;=0.03,"Bom giro","Margem ok")))</x:f>
        <x:v>Bom giro</x:v>
      </x:c>
    </x:row>
    <x:row r="61">
      <x:c r="A61" s="19" t="str">
        <x:v>Lote maior - base 8,5@</x:v>
      </x:c>
      <x:c r="B61" s="19" t="str">
        <x:v>Agressiva</x:v>
      </x:c>
      <x:c r="C61" s="19" t="str">
        <x:v>Conservador</x:v>
      </x:c>
      <x:c r="D61" s="19" t="n">
        <x:v>10.5</x:v>
      </x:c>
      <x:c r="E61" s="21" t="n">
        <x:f>Premissas!$B$6</x:f>
        <x:v>330</x:v>
      </x:c>
      <x:c r="F61" s="19" t="n">
        <x:f>XLOOKUP(A61,Lotes!$A$4:$A$8,Lotes!$B$4:$B$8,0)</x:f>
        <x:v>17</x:v>
      </x:c>
      <x:c r="G61" s="23" t="n">
        <x:f>XLOOKUP(A61,Lotes!$A$4:$A$8,Lotes!$C$4:$C$8,0)</x:f>
        <x:v>8.5</x:v>
      </x:c>
      <x:c r="H61" s="23" t="n">
        <x:f>G61*Premissas!$B$5/Premissas!$B$4</x:f>
        <x:v>231.8181818181818</x:v>
      </x:c>
      <x:c r="I61" s="23" t="n">
        <x:f>D61*Premissas!$B$5/Premissas!$B$4</x:f>
        <x:v>286.3636363636363</x:v>
      </x:c>
      <x:c r="J61" s="23" t="n">
        <x:f>MAX(0,I61-H61)</x:f>
        <x:v>54.545454545454504</x:v>
      </x:c>
      <x:c r="K61" s="23" t="n">
        <x:f>SUMIFS('Cenários de GMD'!$C$4:$C$19,'Cenários de GMD'!$A$4:$A$19,B61,'Cenários de GMD'!$B$4:$B$19,C61)</x:f>
        <x:v>0.7</x:v>
      </x:c>
      <x:c r="L61" s="23" t="n">
        <x:f>IF(J61=0,0,J61/K61)</x:f>
        <x:v>77.92207792207786</x:v>
      </x:c>
      <x:c r="M61" s="23" t="n">
        <x:f>((H61+I61)/2)*SUMIFS('Cenários de GMD'!$D$4:$D$19,'Cenários de GMD'!$A$4:$A$19,B61,'Cenários de GMD'!$B$4:$B$19,C61)</x:f>
        <x:v>0.2590909090909091</x:v>
      </x:c>
      <x:c r="N61" s="23" t="n">
        <x:f>((H61+I61)/2)*SUMIFS('Cenários de GMD'!$E$4:$E$19,'Cenários de GMD'!$A$4:$A$19,B61,'Cenários de GMD'!$B$4:$B$19,C61)</x:f>
        <x:v>1.8136363636363635</x:v>
      </x:c>
      <x:c r="O61" s="21" t="n">
        <x:f>M61*Insumos!$E$4+N61*Insumos!$E$5</x:f>
        <x:v>4.383645454545454</x:v>
      </x:c>
      <x:c r="P61" s="21" t="n">
        <x:f>O61*Premissas!$B$7</x:f>
        <x:v>131.50936363636362</x:v>
      </x:c>
      <x:c r="Q61" s="21" t="n">
        <x:f>O61*L61</x:f>
        <x:v>341.5827626918533</x:v>
      </x:c>
      <x:c r="R61" s="21" t="n">
        <x:f>Premissas!$B$7*Premissas!$B$8*L61</x:f>
        <x:v>0</x:v>
      </x:c>
      <x:c r="S61" s="21" t="n">
        <x:f>D61*E61</x:f>
        <x:v>3465</x:v>
      </x:c>
      <x:c r="T61" s="21" t="n">
        <x:f>S61*F61</x:f>
        <x:v>58905</x:v>
      </x:c>
      <x:c r="U61" s="21" t="n">
        <x:f>S61-XLOOKUP(A61,Lotes!$A$4:$A$8,Lotes!$D$4:$D$8,Premissas!$B$9)-Q61-R61</x:f>
        <x:v>1173.4172373081467</x:v>
      </x:c>
      <x:c r="V61" s="21" t="n">
        <x:f>U61*F61</x:f>
        <x:v>19948.093034238493</x:v>
      </x:c>
      <x:c r="W61" s="20" t="n">
        <x:f>IF(S61=0,0,U61/S61)</x:f>
        <x:v>0.3386485533356845</x:v>
      </x:c>
      <x:c r="X61" s="21" t="n">
        <x:f>IF(D61-G61&lt;=0,0,Q61/(D61-G61))</x:f>
        <x:v>170.79138134592665</x:v>
      </x:c>
      <x:c r="Y61" s="20" t="n">
        <x:f>IFERROR(U61/(XLOOKUP(A61,Lotes!$A$4:$A$8,Lotes!$D$4:$D$8,Premissas!$B$9)+Q61+R61),0)</x:f>
        <x:v>0.5120553603439435</x:v>
      </x:c>
      <x:c r="Z61" s="20" t="n">
        <x:f>IF(L61=0,Y61,Y61/MAX(1,L61/Premissas!$B$7))</x:f>
        <x:v>0.19714131373241842</x:v>
      </x:c>
      <x:c r="AA61" s="19" t="str">
        <x:f>IF(L61=0,"Venda imediata",IF(L61&lt;=60,"Baixo",IF(L61&lt;=120,"Médio","Alto")))</x:f>
        <x:v>Médio</x:v>
      </x:c>
      <x:c r="AB61" s="19" t="str">
        <x:f>IF(U61&lt;0,"Não fazer",IF(AA61="Alto","Risco seca",IF(Z61&gt;=0.03,"Bom giro","Margem ok")))</x:f>
        <x:v>Bom giro</x:v>
      </x:c>
    </x:row>
    <x:row r="62">
      <x:c r="A62" s="19" t="str">
        <x:v>Lote maior - base 8,5@</x:v>
      </x:c>
      <x:c r="B62" s="19" t="str">
        <x:v>Agressiva</x:v>
      </x:c>
      <x:c r="C62" s="19" t="str">
        <x:v>Conservador</x:v>
      </x:c>
      <x:c r="D62" s="19" t="n">
        <x:v>11</x:v>
      </x:c>
      <x:c r="E62" s="21" t="n">
        <x:f>Premissas!$B$6</x:f>
        <x:v>330</x:v>
      </x:c>
      <x:c r="F62" s="19" t="n">
        <x:f>XLOOKUP(A62,Lotes!$A$4:$A$8,Lotes!$B$4:$B$8,0)</x:f>
        <x:v>17</x:v>
      </x:c>
      <x:c r="G62" s="23" t="n">
        <x:f>XLOOKUP(A62,Lotes!$A$4:$A$8,Lotes!$C$4:$C$8,0)</x:f>
        <x:v>8.5</x:v>
      </x:c>
      <x:c r="H62" s="23" t="n">
        <x:f>G62*Premissas!$B$5/Premissas!$B$4</x:f>
        <x:v>231.8181818181818</x:v>
      </x:c>
      <x:c r="I62" s="23" t="n">
        <x:f>D62*Premissas!$B$5/Premissas!$B$4</x:f>
        <x:v>300</x:v>
      </x:c>
      <x:c r="J62" s="23" t="n">
        <x:f>MAX(0,I62-H62)</x:f>
        <x:v>68.18181818181819</x:v>
      </x:c>
      <x:c r="K62" s="23" t="n">
        <x:f>SUMIFS('Cenários de GMD'!$C$4:$C$19,'Cenários de GMD'!$A$4:$A$19,B62,'Cenários de GMD'!$B$4:$B$19,C62)</x:f>
        <x:v>0.7</x:v>
      </x:c>
      <x:c r="L62" s="23" t="n">
        <x:f>IF(J62=0,0,J62/K62)</x:f>
        <x:v>97.40259740259742</x:v>
      </x:c>
      <x:c r="M62" s="23" t="n">
        <x:f>((H62+I62)/2)*SUMIFS('Cenários de GMD'!$D$4:$D$19,'Cenários de GMD'!$A$4:$A$19,B62,'Cenários de GMD'!$B$4:$B$19,C62)</x:f>
        <x:v>0.2659090909090909</x:v>
      </x:c>
      <x:c r="N62" s="23" t="n">
        <x:f>((H62+I62)/2)*SUMIFS('Cenários de GMD'!$E$4:$E$19,'Cenários de GMD'!$A$4:$A$19,B62,'Cenários de GMD'!$B$4:$B$19,C62)</x:f>
        <x:v>1.861363636363636</x:v>
      </x:c>
      <x:c r="O62" s="21" t="n">
        <x:f>M62*Insumos!$E$4+N62*Insumos!$E$5</x:f>
        <x:v>4.499004545454545</x:v>
      </x:c>
      <x:c r="P62" s="21" t="n">
        <x:f>O62*Premissas!$B$7</x:f>
        <x:v>134.97013636363636</x:v>
      </x:c>
      <x:c r="Q62" s="21" t="n">
        <x:f>O62*L62</x:f>
        <x:v>438.21472845336484</x:v>
      </x:c>
      <x:c r="R62" s="21" t="n">
        <x:f>Premissas!$B$7*Premissas!$B$8*L62</x:f>
        <x:v>0</x:v>
      </x:c>
      <x:c r="S62" s="21" t="n">
        <x:f>D62*E62</x:f>
        <x:v>3630</x:v>
      </x:c>
      <x:c r="T62" s="21" t="n">
        <x:f>S62*F62</x:f>
        <x:v>61710</x:v>
      </x:c>
      <x:c r="U62" s="21" t="n">
        <x:f>S62-XLOOKUP(A62,Lotes!$A$4:$A$8,Lotes!$D$4:$D$8,Premissas!$B$9)-Q62-R62</x:f>
        <x:v>1241.7852715466352</x:v>
      </x:c>
      <x:c r="V62" s="21" t="n">
        <x:f>U62*F62</x:f>
        <x:v>21110.3496162928</x:v>
      </x:c>
      <x:c r="W62" s="20" t="n">
        <x:f>IF(S62=0,0,U62/S62)</x:f>
        <x:v>0.34208960648667636</x:v>
      </x:c>
      <x:c r="X62" s="21" t="n">
        <x:f>IF(D62-G62&lt;=0,0,Q62/(D62-G62))</x:f>
        <x:v>175.28589138134595</x:v>
      </x:c>
      <x:c r="Y62" s="20" t="n">
        <x:f>IFERROR(U62/(XLOOKUP(A62,Lotes!$A$4:$A$8,Lotes!$D$4:$D$8,Premissas!$B$9)+Q62+R62),0)</x:f>
        <x:v>0.5199638276876508</x:v>
      </x:c>
      <x:c r="Z62" s="20" t="n">
        <x:f>IF(L62=0,Y62,Y62/MAX(1,L62/Premissas!$B$7))</x:f>
        <x:v>0.1601488589277964</x:v>
      </x:c>
      <x:c r="AA62" s="19" t="str">
        <x:f>IF(L62=0,"Venda imediata",IF(L62&lt;=60,"Baixo",IF(L62&lt;=120,"Médio","Alto")))</x:f>
        <x:v>Médio</x:v>
      </x:c>
      <x:c r="AB62" s="19" t="str">
        <x:f>IF(U62&lt;0,"Não fazer",IF(AA62="Alto","Risco seca",IF(Z62&gt;=0.03,"Bom giro","Margem ok")))</x:f>
        <x:v>Bom giro</x:v>
      </x:c>
    </x:row>
    <x:row r="63">
      <x:c r="A63" s="19" t="str">
        <x:v>Lote maior - base 8,5@</x:v>
      </x:c>
      <x:c r="B63" s="19" t="str">
        <x:v>Agressiva</x:v>
      </x:c>
      <x:c r="C63" s="19" t="str">
        <x:v>Conservador</x:v>
      </x:c>
      <x:c r="D63" s="19" t="n">
        <x:v>12</x:v>
      </x:c>
      <x:c r="E63" s="21" t="n">
        <x:f>Premissas!$B$6</x:f>
        <x:v>330</x:v>
      </x:c>
      <x:c r="F63" s="19" t="n">
        <x:f>XLOOKUP(A63,Lotes!$A$4:$A$8,Lotes!$B$4:$B$8,0)</x:f>
        <x:v>17</x:v>
      </x:c>
      <x:c r="G63" s="23" t="n">
        <x:f>XLOOKUP(A63,Lotes!$A$4:$A$8,Lotes!$C$4:$C$8,0)</x:f>
        <x:v>8.5</x:v>
      </x:c>
      <x:c r="H63" s="23" t="n">
        <x:f>G63*Premissas!$B$5/Premissas!$B$4</x:f>
        <x:v>231.8181818181818</x:v>
      </x:c>
      <x:c r="I63" s="23" t="n">
        <x:f>D63*Premissas!$B$5/Premissas!$B$4</x:f>
        <x:v>327.27272727272725</x:v>
      </x:c>
      <x:c r="J63" s="23" t="n">
        <x:f>MAX(0,I63-H63)</x:f>
        <x:v>95.45454545454544</x:v>
      </x:c>
      <x:c r="K63" s="23" t="n">
        <x:f>SUMIFS('Cenários de GMD'!$C$4:$C$19,'Cenários de GMD'!$A$4:$A$19,B63,'Cenários de GMD'!$B$4:$B$19,C63)</x:f>
        <x:v>0.7</x:v>
      </x:c>
      <x:c r="L63" s="23" t="n">
        <x:f>IF(J63=0,0,J63/K63)</x:f>
        <x:v>136.36363636363635</x:v>
      </x:c>
      <x:c r="M63" s="23" t="n">
        <x:f>((H63+I63)/2)*SUMIFS('Cenários de GMD'!$D$4:$D$19,'Cenários de GMD'!$A$4:$A$19,B63,'Cenários de GMD'!$B$4:$B$19,C63)</x:f>
        <x:v>0.2795454545454545</x:v>
      </x:c>
      <x:c r="N63" s="23" t="n">
        <x:f>((H63+I63)/2)*SUMIFS('Cenários de GMD'!$E$4:$E$19,'Cenários de GMD'!$A$4:$A$19,B63,'Cenários de GMD'!$B$4:$B$19,C63)</x:f>
        <x:v>1.9568181818181816</x:v>
      </x:c>
      <x:c r="O63" s="21" t="n">
        <x:f>M63*Insumos!$E$4+N63*Insumos!$E$5</x:f>
        <x:v>4.729722727272726</x:v>
      </x:c>
      <x:c r="P63" s="21" t="n">
        <x:f>O63*Premissas!$B$7</x:f>
        <x:v>141.89168181818178</x:v>
      </x:c>
      <x:c r="Q63" s="21" t="n">
        <x:f>O63*L63</x:f>
        <x:v>644.9621900826444</x:v>
      </x:c>
      <x:c r="R63" s="21" t="n">
        <x:f>Premissas!$B$7*Premissas!$B$8*L63</x:f>
        <x:v>0</x:v>
      </x:c>
      <x:c r="S63" s="21" t="n">
        <x:f>D63*E63</x:f>
        <x:v>3960</x:v>
      </x:c>
      <x:c r="T63" s="21" t="n">
        <x:f>S63*F63</x:f>
        <x:v>67320</x:v>
      </x:c>
      <x:c r="U63" s="21" t="n">
        <x:f>S63-XLOOKUP(A63,Lotes!$A$4:$A$8,Lotes!$D$4:$D$8,Premissas!$B$9)-Q63-R63</x:f>
        <x:v>1365.0378099173556</x:v>
      </x:c>
      <x:c r="V63" s="21" t="n">
        <x:f>U63*F63</x:f>
        <x:v>23205.642768595044</x:v>
      </x:c>
      <x:c r="W63" s="20" t="n">
        <x:f>IF(S63=0,0,U63/S63)</x:f>
        <x:v>0.3447065176558979</x:v>
      </x:c>
      <x:c r="X63" s="21" t="n">
        <x:f>IF(D63-G63&lt;=0,0,Q63/(D63-G63))</x:f>
        <x:v>184.2749114521841</x:v>
      </x:c>
      <x:c r="Y63" s="20" t="n">
        <x:f>IFERROR(U63/(XLOOKUP(A63,Lotes!$A$4:$A$8,Lotes!$D$4:$D$8,Premissas!$B$9)+Q63+R63),0)</x:f>
        <x:v>0.526033795457298</x:v>
      </x:c>
      <x:c r="Z63" s="20" t="n">
        <x:f>IF(L63=0,Y63,Y63/MAX(1,L63/Premissas!$B$7))</x:f>
        <x:v>0.11572743500060557</x:v>
      </x:c>
      <x:c r="AA63" s="19" t="str">
        <x:f>IF(L63=0,"Venda imediata",IF(L63&lt;=60,"Baixo",IF(L63&lt;=120,"Médio","Alto")))</x:f>
        <x:v>Alto</x:v>
      </x:c>
      <x:c r="AB63" s="19" t="str">
        <x:f>IF(U63&lt;0,"Não fazer",IF(AA63="Alto","Risco seca",IF(Z63&gt;=0.03,"Bom giro","Margem ok")))</x:f>
        <x:v>Risco seca</x:v>
      </x:c>
    </x:row>
    <x:row r="64">
      <x:c r="A64" s="19" t="str">
        <x:v>Lote maior - base 8,5@</x:v>
      </x:c>
      <x:c r="B64" s="19" t="str">
        <x:v>Agressiva</x:v>
      </x:c>
      <x:c r="C64" s="19" t="str">
        <x:v>Base</x:v>
      </x:c>
      <x:c r="D64" s="19" t="n">
        <x:v>8.5</x:v>
      </x:c>
      <x:c r="E64" s="21" t="n">
        <x:f>Premissas!$B$6</x:f>
        <x:v>330</x:v>
      </x:c>
      <x:c r="F64" s="19" t="n">
        <x:f>XLOOKUP(A64,Lotes!$A$4:$A$8,Lotes!$B$4:$B$8,0)</x:f>
        <x:v>17</x:v>
      </x:c>
      <x:c r="G64" s="23" t="n">
        <x:f>XLOOKUP(A64,Lotes!$A$4:$A$8,Lotes!$C$4:$C$8,0)</x:f>
        <x:v>8.5</x:v>
      </x:c>
      <x:c r="H64" s="23" t="n">
        <x:f>G64*Premissas!$B$5/Premissas!$B$4</x:f>
        <x:v>231.8181818181818</x:v>
      </x:c>
      <x:c r="I64" s="23" t="n">
        <x:f>D64*Premissas!$B$5/Premissas!$B$4</x:f>
        <x:v>231.8181818181818</x:v>
      </x:c>
      <x:c r="J64" s="23" t="n">
        <x:f>MAX(0,I64-H64)</x:f>
        <x:v>0</x:v>
      </x:c>
      <x:c r="K64" s="23" t="n">
        <x:f>SUMIFS('Cenários de GMD'!$C$4:$C$19,'Cenários de GMD'!$A$4:$A$19,B64,'Cenários de GMD'!$B$4:$B$19,C64)</x:f>
        <x:v>0.85</x:v>
      </x:c>
      <x:c r="L64" s="23" t="n">
        <x:f>IF(J64=0,0,J64/K64)</x:f>
        <x:v>0</x:v>
      </x:c>
      <x:c r="M64" s="23" t="n">
        <x:f>((H64+I64)/2)*SUMIFS('Cenários de GMD'!$D$4:$D$19,'Cenários de GMD'!$A$4:$A$19,B64,'Cenários de GMD'!$B$4:$B$19,C64)</x:f>
        <x:v>0.2318181818181818</x:v>
      </x:c>
      <x:c r="N64" s="23" t="n">
        <x:f>((H64+I64)/2)*SUMIFS('Cenários de GMD'!$E$4:$E$19,'Cenários de GMD'!$A$4:$A$19,B64,'Cenários de GMD'!$B$4:$B$19,C64)</x:f>
        <x:v>1.6227272727272728</x:v>
      </x:c>
      <x:c r="O64" s="21" t="n">
        <x:f>M64*Insumos!$E$4+N64*Insumos!$E$5</x:f>
        <x:v>3.9222090909090914</x:v>
      </x:c>
      <x:c r="P64" s="21" t="n">
        <x:f>O64*Premissas!$B$7</x:f>
        <x:v>117.66627272727274</x:v>
      </x:c>
      <x:c r="Q64" s="21" t="n">
        <x:f>O64*L64</x:f>
        <x:v>0</x:v>
      </x:c>
      <x:c r="R64" s="21" t="n">
        <x:f>Premissas!$B$7*Premissas!$B$8*L64</x:f>
        <x:v>0</x:v>
      </x:c>
      <x:c r="S64" s="21" t="n">
        <x:f>D64*E64</x:f>
        <x:v>2805</x:v>
      </x:c>
      <x:c r="T64" s="21" t="n">
        <x:f>S64*F64</x:f>
        <x:v>47685</x:v>
      </x:c>
      <x:c r="U64" s="21" t="n">
        <x:f>S64-XLOOKUP(A64,Lotes!$A$4:$A$8,Lotes!$D$4:$D$8,Premissas!$B$9)-Q64-R64</x:f>
        <x:v>855</x:v>
      </x:c>
      <x:c r="V64" s="21" t="n">
        <x:f>U64*F64</x:f>
        <x:v>14535</x:v>
      </x:c>
      <x:c r="W64" s="20" t="n">
        <x:f>IF(S64=0,0,U64/S64)</x:f>
        <x:v>0.3048128342245989</x:v>
      </x:c>
      <x:c r="X64" s="21" t="n">
        <x:f>IF(D64-G64&lt;=0,0,Q64/(D64-G64))</x:f>
        <x:v>0</x:v>
      </x:c>
      <x:c r="Y64" s="20" t="n">
        <x:f>IFERROR(U64/(XLOOKUP(A64,Lotes!$A$4:$A$8,Lotes!$D$4:$D$8,Premissas!$B$9)+Q64+R64),0)</x:f>
        <x:v>0.43846153846153846</x:v>
      </x:c>
      <x:c r="Z64" s="20" t="n">
        <x:f>IF(L64=0,Y64,Y64/MAX(1,L64/Premissas!$B$7))</x:f>
        <x:v>0.43846153846153846</x:v>
      </x:c>
      <x:c r="AA64" s="19" t="str">
        <x:f>IF(L64=0,"Venda imediata",IF(L64&lt;=60,"Baixo",IF(L64&lt;=120,"Médio","Alto")))</x:f>
        <x:v>Venda imediata</x:v>
      </x:c>
      <x:c r="AB64" s="19" t="str">
        <x:f>IF(U64&lt;0,"Não fazer",IF(AA64="Alto","Risco seca",IF(Z64&gt;=0.03,"Bom giro","Margem ok")))</x:f>
        <x:v>Bom giro</x:v>
      </x:c>
    </x:row>
    <x:row r="65">
      <x:c r="A65" s="19" t="str">
        <x:v>Lote maior - base 8,5@</x:v>
      </x:c>
      <x:c r="B65" s="19" t="str">
        <x:v>Agressiva</x:v>
      </x:c>
      <x:c r="C65" s="19" t="str">
        <x:v>Base</x:v>
      </x:c>
      <x:c r="D65" s="19" t="n">
        <x:v>9</x:v>
      </x:c>
      <x:c r="E65" s="21" t="n">
        <x:f>Premissas!$B$6</x:f>
        <x:v>330</x:v>
      </x:c>
      <x:c r="F65" s="19" t="n">
        <x:f>XLOOKUP(A65,Lotes!$A$4:$A$8,Lotes!$B$4:$B$8,0)</x:f>
        <x:v>17</x:v>
      </x:c>
      <x:c r="G65" s="23" t="n">
        <x:f>XLOOKUP(A65,Lotes!$A$4:$A$8,Lotes!$C$4:$C$8,0)</x:f>
        <x:v>8.5</x:v>
      </x:c>
      <x:c r="H65" s="23" t="n">
        <x:f>G65*Premissas!$B$5/Premissas!$B$4</x:f>
        <x:v>231.8181818181818</x:v>
      </x:c>
      <x:c r="I65" s="23" t="n">
        <x:f>D65*Premissas!$B$5/Premissas!$B$4</x:f>
        <x:v>245.45454545454544</x:v>
      </x:c>
      <x:c r="J65" s="23" t="n">
        <x:f>MAX(0,I65-H65)</x:f>
        <x:v>13.636363636363626</x:v>
      </x:c>
      <x:c r="K65" s="23" t="n">
        <x:f>SUMIFS('Cenários de GMD'!$C$4:$C$19,'Cenários de GMD'!$A$4:$A$19,B65,'Cenários de GMD'!$B$4:$B$19,C65)</x:f>
        <x:v>0.85</x:v>
      </x:c>
      <x:c r="L65" s="23" t="n">
        <x:f>IF(J65=0,0,J65/K65)</x:f>
        <x:v>16.04278074866309</x:v>
      </x:c>
      <x:c r="M65" s="23" t="n">
        <x:f>((H65+I65)/2)*SUMIFS('Cenários de GMD'!$D$4:$D$19,'Cenários de GMD'!$A$4:$A$19,B65,'Cenários de GMD'!$B$4:$B$19,C65)</x:f>
        <x:v>0.23863636363636362</x:v>
      </x:c>
      <x:c r="N65" s="23" t="n">
        <x:f>((H65+I65)/2)*SUMIFS('Cenários de GMD'!$E$4:$E$19,'Cenários de GMD'!$A$4:$A$19,B65,'Cenários de GMD'!$B$4:$B$19,C65)</x:f>
        <x:v>1.6704545454545454</x:v>
      </x:c>
      <x:c r="O65" s="21" t="n">
        <x:f>M65*Insumos!$E$4+N65*Insumos!$E$5</x:f>
        <x:v>4.037568181818182</x:v>
      </x:c>
      <x:c r="P65" s="21" t="n">
        <x:f>O65*Premissas!$B$7</x:f>
        <x:v>121.12704545454547</x:v>
      </x:c>
      <x:c r="Q65" s="21" t="n">
        <x:f>O65*L65</x:f>
        <x:v>64.77382109868738</x:v>
      </x:c>
      <x:c r="R65" s="21" t="n">
        <x:f>Premissas!$B$7*Premissas!$B$8*L65</x:f>
        <x:v>0</x:v>
      </x:c>
      <x:c r="S65" s="21" t="n">
        <x:f>D65*E65</x:f>
        <x:v>2970</x:v>
      </x:c>
      <x:c r="T65" s="21" t="n">
        <x:f>S65*F65</x:f>
        <x:v>50490</x:v>
      </x:c>
      <x:c r="U65" s="21" t="n">
        <x:f>S65-XLOOKUP(A65,Lotes!$A$4:$A$8,Lotes!$D$4:$D$8,Premissas!$B$9)-Q65-R65</x:f>
        <x:v>955.2261789013127</x:v>
      </x:c>
      <x:c r="V65" s="21" t="n">
        <x:f>U65*F65</x:f>
        <x:v>16238.845041322315</x:v>
      </x:c>
      <x:c r="W65" s="20" t="n">
        <x:f>IF(S65=0,0,U65/S65)</x:f>
        <x:v>0.32162497606104806</x:v>
      </x:c>
      <x:c r="X65" s="21" t="n">
        <x:f>IF(D65-G65&lt;=0,0,Q65/(D65-G65))</x:f>
        <x:v>129.54764219737476</x:v>
      </x:c>
      <x:c r="Y65" s="20" t="n">
        <x:f>IFERROR(U65/(XLOOKUP(A65,Lotes!$A$4:$A$8,Lotes!$D$4:$D$8,Premissas!$B$9)+Q65+R65),0)</x:f>
        <x:v>0.47411087482783204</x:v>
      </x:c>
      <x:c r="Z65" s="20" t="n">
        <x:f>IF(L65=0,Y65,Y65/MAX(1,L65/Premissas!$B$7))</x:f>
        <x:v>0.47411087482783204</x:v>
      </x:c>
      <x:c r="AA65" s="19" t="str">
        <x:f>IF(L65=0,"Venda imediata",IF(L65&lt;=60,"Baixo",IF(L65&lt;=120,"Médio","Alto")))</x:f>
        <x:v>Baixo</x:v>
      </x:c>
      <x:c r="AB65" s="19" t="str">
        <x:f>IF(U65&lt;0,"Não fazer",IF(AA65="Alto","Risco seca",IF(Z65&gt;=0.03,"Bom giro","Margem ok")))</x:f>
        <x:v>Bom giro</x:v>
      </x:c>
    </x:row>
    <x:row r="66">
      <x:c r="A66" s="19" t="str">
        <x:v>Lote maior - base 8,5@</x:v>
      </x:c>
      <x:c r="B66" s="19" t="str">
        <x:v>Agressiva</x:v>
      </x:c>
      <x:c r="C66" s="19" t="str">
        <x:v>Base</x:v>
      </x:c>
      <x:c r="D66" s="19" t="n">
        <x:v>10.5</x:v>
      </x:c>
      <x:c r="E66" s="21" t="n">
        <x:f>Premissas!$B$6</x:f>
        <x:v>330</x:v>
      </x:c>
      <x:c r="F66" s="19" t="n">
        <x:f>XLOOKUP(A66,Lotes!$A$4:$A$8,Lotes!$B$4:$B$8,0)</x:f>
        <x:v>17</x:v>
      </x:c>
      <x:c r="G66" s="23" t="n">
        <x:f>XLOOKUP(A66,Lotes!$A$4:$A$8,Lotes!$C$4:$C$8,0)</x:f>
        <x:v>8.5</x:v>
      </x:c>
      <x:c r="H66" s="23" t="n">
        <x:f>G66*Premissas!$B$5/Premissas!$B$4</x:f>
        <x:v>231.8181818181818</x:v>
      </x:c>
      <x:c r="I66" s="23" t="n">
        <x:f>D66*Premissas!$B$5/Premissas!$B$4</x:f>
        <x:v>286.3636363636363</x:v>
      </x:c>
      <x:c r="J66" s="23" t="n">
        <x:f>MAX(0,I66-H66)</x:f>
        <x:v>54.545454545454504</x:v>
      </x:c>
      <x:c r="K66" s="23" t="n">
        <x:f>SUMIFS('Cenários de GMD'!$C$4:$C$19,'Cenários de GMD'!$A$4:$A$19,B66,'Cenários de GMD'!$B$4:$B$19,C66)</x:f>
        <x:v>0.85</x:v>
      </x:c>
      <x:c r="L66" s="23" t="n">
        <x:f>IF(J66=0,0,J66/K66)</x:f>
        <x:v>64.17112299465236</x:v>
      </x:c>
      <x:c r="M66" s="23" t="n">
        <x:f>((H66+I66)/2)*SUMIFS('Cenários de GMD'!$D$4:$D$19,'Cenários de GMD'!$A$4:$A$19,B66,'Cenários de GMD'!$B$4:$B$19,C66)</x:f>
        <x:v>0.2590909090909091</x:v>
      </x:c>
      <x:c r="N66" s="23" t="n">
        <x:f>((H66+I66)/2)*SUMIFS('Cenários de GMD'!$E$4:$E$19,'Cenários de GMD'!$A$4:$A$19,B66,'Cenários de GMD'!$B$4:$B$19,C66)</x:f>
        <x:v>1.8136363636363635</x:v>
      </x:c>
      <x:c r="O66" s="21" t="n">
        <x:f>M66*Insumos!$E$4+N66*Insumos!$E$5</x:f>
        <x:v>4.383645454545454</x:v>
      </x:c>
      <x:c r="P66" s="21" t="n">
        <x:f>O66*Premissas!$B$7</x:f>
        <x:v>131.50936363636362</x:v>
      </x:c>
      <x:c r="Q66" s="21" t="n">
        <x:f>O66*L66</x:f>
        <x:v>281.3034516285851</x:v>
      </x:c>
      <x:c r="R66" s="21" t="n">
        <x:f>Premissas!$B$7*Premissas!$B$8*L66</x:f>
        <x:v>0</x:v>
      </x:c>
      <x:c r="S66" s="21" t="n">
        <x:f>D66*E66</x:f>
        <x:v>3465</x:v>
      </x:c>
      <x:c r="T66" s="21" t="n">
        <x:f>S66*F66</x:f>
        <x:v>58905</x:v>
      </x:c>
      <x:c r="U66" s="21" t="n">
        <x:f>S66-XLOOKUP(A66,Lotes!$A$4:$A$8,Lotes!$D$4:$D$8,Premissas!$B$9)-Q66-R66</x:f>
        <x:v>1233.6965483714148</x:v>
      </x:c>
      <x:c r="V66" s="21" t="n">
        <x:f>U66*F66</x:f>
        <x:v>20972.841322314052</x:v>
      </x:c>
      <x:c r="W66" s="20" t="n">
        <x:f>IF(S66=0,0,U66/S66)</x:f>
        <x:v>0.3560451799051702</x:v>
      </x:c>
      <x:c r="X66" s="21" t="n">
        <x:f>IF(D66-G66&lt;=0,0,Q66/(D66-G66))</x:f>
        <x:v>140.65172581429255</x:v>
      </x:c>
      <x:c r="Y66" s="20" t="n">
        <x:f>IFERROR(U66/(XLOOKUP(A66,Lotes!$A$4:$A$8,Lotes!$D$4:$D$8,Premissas!$B$9)+Q66+R66),0)</x:f>
        <x:v>0.5529039752396581</x:v>
      </x:c>
      <x:c r="Z66" s="20" t="n">
        <x:f>IF(L66=0,Y66,Y66/MAX(1,L66/Premissas!$B$7))</x:f>
        <x:v>0.2584826084245403</x:v>
      </x:c>
      <x:c r="AA66" s="19" t="str">
        <x:f>IF(L66=0,"Venda imediata",IF(L66&lt;=60,"Baixo",IF(L66&lt;=120,"Médio","Alto")))</x:f>
        <x:v>Médio</x:v>
      </x:c>
      <x:c r="AB66" s="19" t="str">
        <x:f>IF(U66&lt;0,"Não fazer",IF(AA66="Alto","Risco seca",IF(Z66&gt;=0.03,"Bom giro","Margem ok")))</x:f>
        <x:v>Bom giro</x:v>
      </x:c>
    </x:row>
    <x:row r="67">
      <x:c r="A67" s="19" t="str">
        <x:v>Lote maior - base 8,5@</x:v>
      </x:c>
      <x:c r="B67" s="19" t="str">
        <x:v>Agressiva</x:v>
      </x:c>
      <x:c r="C67" s="19" t="str">
        <x:v>Base</x:v>
      </x:c>
      <x:c r="D67" s="19" t="n">
        <x:v>11</x:v>
      </x:c>
      <x:c r="E67" s="21" t="n">
        <x:f>Premissas!$B$6</x:f>
        <x:v>330</x:v>
      </x:c>
      <x:c r="F67" s="19" t="n">
        <x:f>XLOOKUP(A67,Lotes!$A$4:$A$8,Lotes!$B$4:$B$8,0)</x:f>
        <x:v>17</x:v>
      </x:c>
      <x:c r="G67" s="23" t="n">
        <x:f>XLOOKUP(A67,Lotes!$A$4:$A$8,Lotes!$C$4:$C$8,0)</x:f>
        <x:v>8.5</x:v>
      </x:c>
      <x:c r="H67" s="23" t="n">
        <x:f>G67*Premissas!$B$5/Premissas!$B$4</x:f>
        <x:v>231.8181818181818</x:v>
      </x:c>
      <x:c r="I67" s="23" t="n">
        <x:f>D67*Premissas!$B$5/Premissas!$B$4</x:f>
        <x:v>300</x:v>
      </x:c>
      <x:c r="J67" s="23" t="n">
        <x:f>MAX(0,I67-H67)</x:f>
        <x:v>68.18181818181819</x:v>
      </x:c>
      <x:c r="K67" s="23" t="n">
        <x:f>SUMIFS('Cenários de GMD'!$C$4:$C$19,'Cenários de GMD'!$A$4:$A$19,B67,'Cenários de GMD'!$B$4:$B$19,C67)</x:f>
        <x:v>0.85</x:v>
      </x:c>
      <x:c r="L67" s="23" t="n">
        <x:f>IF(J67=0,0,J67/K67)</x:f>
        <x:v>80.21390374331551</x:v>
      </x:c>
      <x:c r="M67" s="23" t="n">
        <x:f>((H67+I67)/2)*SUMIFS('Cenários de GMD'!$D$4:$D$19,'Cenários de GMD'!$A$4:$A$19,B67,'Cenários de GMD'!$B$4:$B$19,C67)</x:f>
        <x:v>0.2659090909090909</x:v>
      </x:c>
      <x:c r="N67" s="23" t="n">
        <x:f>((H67+I67)/2)*SUMIFS('Cenários de GMD'!$E$4:$E$19,'Cenários de GMD'!$A$4:$A$19,B67,'Cenários de GMD'!$B$4:$B$19,C67)</x:f>
        <x:v>1.861363636363636</x:v>
      </x:c>
      <x:c r="O67" s="21" t="n">
        <x:f>M67*Insumos!$E$4+N67*Insumos!$E$5</x:f>
        <x:v>4.499004545454545</x:v>
      </x:c>
      <x:c r="P67" s="21" t="n">
        <x:f>O67*Premissas!$B$7</x:f>
        <x:v>134.97013636363636</x:v>
      </x:c>
      <x:c r="Q67" s="21" t="n">
        <x:f>O67*L67</x:f>
        <x:v>360.8827175498298</x:v>
      </x:c>
      <x:c r="R67" s="21" t="n">
        <x:f>Premissas!$B$7*Premissas!$B$8*L67</x:f>
        <x:v>0</x:v>
      </x:c>
      <x:c r="S67" s="21" t="n">
        <x:f>D67*E67</x:f>
        <x:v>3630</x:v>
      </x:c>
      <x:c r="T67" s="21" t="n">
        <x:f>S67*F67</x:f>
        <x:v>61710</x:v>
      </x:c>
      <x:c r="U67" s="21" t="n">
        <x:f>S67-XLOOKUP(A67,Lotes!$A$4:$A$8,Lotes!$D$4:$D$8,Premissas!$B$9)-Q67-R67</x:f>
        <x:v>1319.1172824501703</x:v>
      </x:c>
      <x:c r="V67" s="21" t="n">
        <x:f>U67*F67</x:f>
        <x:v>22424.993801652894</x:v>
      </x:c>
      <x:c r="W67" s="20" t="n">
        <x:f>IF(S67=0,0,U67/S67)</x:f>
        <x:v>0.36339319075762266</x:v>
      </x:c>
      <x:c r="X67" s="21" t="n">
        <x:f>IF(D67-G67&lt;=0,0,Q67/(D67-G67))</x:f>
        <x:v>144.35308701993193</x:v>
      </x:c>
      <x:c r="Y67" s="20" t="n">
        <x:f>IFERROR(U67/(XLOOKUP(A67,Lotes!$A$4:$A$8,Lotes!$D$4:$D$8,Premissas!$B$9)+Q67+R67),0)</x:f>
        <x:v>0.5708283126755981</x:v>
      </x:c>
      <x:c r="Z67" s="20" t="n">
        <x:f>IF(L67=0,Y67,Y67/MAX(1,L67/Premissas!$B$7))</x:f>
        <x:v>0.2134897889406737</x:v>
      </x:c>
      <x:c r="AA67" s="19" t="str">
        <x:f>IF(L67=0,"Venda imediata",IF(L67&lt;=60,"Baixo",IF(L67&lt;=120,"Médio","Alto")))</x:f>
        <x:v>Médio</x:v>
      </x:c>
      <x:c r="AB67" s="19" t="str">
        <x:f>IF(U67&lt;0,"Não fazer",IF(AA67="Alto","Risco seca",IF(Z67&gt;=0.03,"Bom giro","Margem ok")))</x:f>
        <x:v>Bom giro</x:v>
      </x:c>
    </x:row>
    <x:row r="68">
      <x:c r="A68" s="19" t="str">
        <x:v>Lote maior - base 8,5@</x:v>
      </x:c>
      <x:c r="B68" s="19" t="str">
        <x:v>Agressiva</x:v>
      </x:c>
      <x:c r="C68" s="19" t="str">
        <x:v>Base</x:v>
      </x:c>
      <x:c r="D68" s="19" t="n">
        <x:v>12</x:v>
      </x:c>
      <x:c r="E68" s="21" t="n">
        <x:f>Premissas!$B$6</x:f>
        <x:v>330</x:v>
      </x:c>
      <x:c r="F68" s="19" t="n">
        <x:f>XLOOKUP(A68,Lotes!$A$4:$A$8,Lotes!$B$4:$B$8,0)</x:f>
        <x:v>17</x:v>
      </x:c>
      <x:c r="G68" s="23" t="n">
        <x:f>XLOOKUP(A68,Lotes!$A$4:$A$8,Lotes!$C$4:$C$8,0)</x:f>
        <x:v>8.5</x:v>
      </x:c>
      <x:c r="H68" s="23" t="n">
        <x:f>G68*Premissas!$B$5/Premissas!$B$4</x:f>
        <x:v>231.8181818181818</x:v>
      </x:c>
      <x:c r="I68" s="23" t="n">
        <x:f>D68*Premissas!$B$5/Premissas!$B$4</x:f>
        <x:v>327.27272727272725</x:v>
      </x:c>
      <x:c r="J68" s="23" t="n">
        <x:f>MAX(0,I68-H68)</x:f>
        <x:v>95.45454545454544</x:v>
      </x:c>
      <x:c r="K68" s="23" t="n">
        <x:f>SUMIFS('Cenários de GMD'!$C$4:$C$19,'Cenários de GMD'!$A$4:$A$19,B68,'Cenários de GMD'!$B$4:$B$19,C68)</x:f>
        <x:v>0.85</x:v>
      </x:c>
      <x:c r="L68" s="23" t="n">
        <x:f>IF(J68=0,0,J68/K68)</x:f>
        <x:v>112.2994652406417</x:v>
      </x:c>
      <x:c r="M68" s="23" t="n">
        <x:f>((H68+I68)/2)*SUMIFS('Cenários de GMD'!$D$4:$D$19,'Cenários de GMD'!$A$4:$A$19,B68,'Cenários de GMD'!$B$4:$B$19,C68)</x:f>
        <x:v>0.2795454545454545</x:v>
      </x:c>
      <x:c r="N68" s="23" t="n">
        <x:f>((H68+I68)/2)*SUMIFS('Cenários de GMD'!$E$4:$E$19,'Cenários de GMD'!$A$4:$A$19,B68,'Cenários de GMD'!$B$4:$B$19,C68)</x:f>
        <x:v>1.9568181818181816</x:v>
      </x:c>
      <x:c r="O68" s="21" t="n">
        <x:f>M68*Insumos!$E$4+N68*Insumos!$E$5</x:f>
        <x:v>4.729722727272726</x:v>
      </x:c>
      <x:c r="P68" s="21" t="n">
        <x:f>O68*Premissas!$B$7</x:f>
        <x:v>141.89168181818178</x:v>
      </x:c>
      <x:c r="Q68" s="21" t="n">
        <x:f>O68*L68</x:f>
        <x:v>531.1453330092365</x:v>
      </x:c>
      <x:c r="R68" s="21" t="n">
        <x:f>Premissas!$B$7*Premissas!$B$8*L68</x:f>
        <x:v>0</x:v>
      </x:c>
      <x:c r="S68" s="21" t="n">
        <x:f>D68*E68</x:f>
        <x:v>3960</x:v>
      </x:c>
      <x:c r="T68" s="21" t="n">
        <x:f>S68*F68</x:f>
        <x:v>67320</x:v>
      </x:c>
      <x:c r="U68" s="21" t="n">
        <x:f>S68-XLOOKUP(A68,Lotes!$A$4:$A$8,Lotes!$D$4:$D$8,Premissas!$B$9)-Q68-R68</x:f>
        <x:v>1478.8546669907635</x:v>
      </x:c>
      <x:c r="V68" s="21" t="n">
        <x:f>U68*F68</x:f>
        <x:v>25140.529338842978</x:v>
      </x:c>
      <x:c r="W68" s="20" t="n">
        <x:f>IF(S68=0,0,U68/S68)</x:f>
        <x:v>0.3734481482299908</x:v>
      </x:c>
      <x:c r="X68" s="21" t="n">
        <x:f>IF(D68-G68&lt;=0,0,Q68/(D68-G68))</x:f>
        <x:v>151.75580943121045</x:v>
      </x:c>
      <x:c r="Y68" s="20" t="n">
        <x:f>IFERROR(U68/(XLOOKUP(A68,Lotes!$A$4:$A$8,Lotes!$D$4:$D$8,Premissas!$B$9)+Q68+R68),0)</x:f>
        <x:v>0.5960370992041595</x:v>
      </x:c>
      <x:c r="Z68" s="20" t="n">
        <x:f>IF(L68=0,Y68,Y68/MAX(1,L68/Premissas!$B$7))</x:f>
        <x:v>0.15922705364453976</x:v>
      </x:c>
      <x:c r="AA68" s="19" t="str">
        <x:f>IF(L68=0,"Venda imediata",IF(L68&lt;=60,"Baixo",IF(L68&lt;=120,"Médio","Alto")))</x:f>
        <x:v>Médio</x:v>
      </x:c>
      <x:c r="AB68" s="19" t="str">
        <x:f>IF(U68&lt;0,"Não fazer",IF(AA68="Alto","Risco seca",IF(Z68&gt;=0.03,"Bom giro","Margem ok")))</x:f>
        <x:v>Bom giro</x:v>
      </x:c>
    </x:row>
    <x:row r="69">
      <x:c r="A69" s="19" t="str">
        <x:v>Lote maior - base 8,5@</x:v>
      </x:c>
      <x:c r="B69" s="19" t="str">
        <x:v>Agressiva</x:v>
      </x:c>
      <x:c r="C69" s="19" t="str">
        <x:v>Bom</x:v>
      </x:c>
      <x:c r="D69" s="19" t="n">
        <x:v>8.5</x:v>
      </x:c>
      <x:c r="E69" s="21" t="n">
        <x:f>Premissas!$B$6</x:f>
        <x:v>330</x:v>
      </x:c>
      <x:c r="F69" s="19" t="n">
        <x:f>XLOOKUP(A69,Lotes!$A$4:$A$8,Lotes!$B$4:$B$8,0)</x:f>
        <x:v>17</x:v>
      </x:c>
      <x:c r="G69" s="23" t="n">
        <x:f>XLOOKUP(A69,Lotes!$A$4:$A$8,Lotes!$C$4:$C$8,0)</x:f>
        <x:v>8.5</x:v>
      </x:c>
      <x:c r="H69" s="23" t="n">
        <x:f>G69*Premissas!$B$5/Premissas!$B$4</x:f>
        <x:v>231.8181818181818</x:v>
      </x:c>
      <x:c r="I69" s="23" t="n">
        <x:f>D69*Premissas!$B$5/Premissas!$B$4</x:f>
        <x:v>231.8181818181818</x:v>
      </x:c>
      <x:c r="J69" s="23" t="n">
        <x:f>MAX(0,I69-H69)</x:f>
        <x:v>0</x:v>
      </x:c>
      <x:c r="K69" s="23" t="n">
        <x:f>SUMIFS('Cenários de GMD'!$C$4:$C$19,'Cenários de GMD'!$A$4:$A$19,B69,'Cenários de GMD'!$B$4:$B$19,C69)</x:f>
        <x:v>1</x:v>
      </x:c>
      <x:c r="L69" s="23" t="n">
        <x:f>IF(J69=0,0,J69/K69)</x:f>
        <x:v>0</x:v>
      </x:c>
      <x:c r="M69" s="23" t="n">
        <x:f>((H69+I69)/2)*SUMIFS('Cenários de GMD'!$D$4:$D$19,'Cenários de GMD'!$A$4:$A$19,B69,'Cenários de GMD'!$B$4:$B$19,C69)</x:f>
        <x:v>0.2318181818181818</x:v>
      </x:c>
      <x:c r="N69" s="23" t="n">
        <x:f>((H69+I69)/2)*SUMIFS('Cenários de GMD'!$E$4:$E$19,'Cenários de GMD'!$A$4:$A$19,B69,'Cenários de GMD'!$B$4:$B$19,C69)</x:f>
        <x:v>1.6227272727272728</x:v>
      </x:c>
      <x:c r="O69" s="21" t="n">
        <x:f>M69*Insumos!$E$4+N69*Insumos!$E$5</x:f>
        <x:v>3.9222090909090914</x:v>
      </x:c>
      <x:c r="P69" s="21" t="n">
        <x:f>O69*Premissas!$B$7</x:f>
        <x:v>117.66627272727274</x:v>
      </x:c>
      <x:c r="Q69" s="21" t="n">
        <x:f>O69*L69</x:f>
        <x:v>0</x:v>
      </x:c>
      <x:c r="R69" s="21" t="n">
        <x:f>Premissas!$B$7*Premissas!$B$8*L69</x:f>
        <x:v>0</x:v>
      </x:c>
      <x:c r="S69" s="21" t="n">
        <x:f>D69*E69</x:f>
        <x:v>2805</x:v>
      </x:c>
      <x:c r="T69" s="21" t="n">
        <x:f>S69*F69</x:f>
        <x:v>47685</x:v>
      </x:c>
      <x:c r="U69" s="21" t="n">
        <x:f>S69-XLOOKUP(A69,Lotes!$A$4:$A$8,Lotes!$D$4:$D$8,Premissas!$B$9)-Q69-R69</x:f>
        <x:v>855</x:v>
      </x:c>
      <x:c r="V69" s="21" t="n">
        <x:f>U69*F69</x:f>
        <x:v>14535</x:v>
      </x:c>
      <x:c r="W69" s="20" t="n">
        <x:f>IF(S69=0,0,U69/S69)</x:f>
        <x:v>0.3048128342245989</x:v>
      </x:c>
      <x:c r="X69" s="21" t="n">
        <x:f>IF(D69-G69&lt;=0,0,Q69/(D69-G69))</x:f>
        <x:v>0</x:v>
      </x:c>
      <x:c r="Y69" s="20" t="n">
        <x:f>IFERROR(U69/(XLOOKUP(A69,Lotes!$A$4:$A$8,Lotes!$D$4:$D$8,Premissas!$B$9)+Q69+R69),0)</x:f>
        <x:v>0.43846153846153846</x:v>
      </x:c>
      <x:c r="Z69" s="20" t="n">
        <x:f>IF(L69=0,Y69,Y69/MAX(1,L69/Premissas!$B$7))</x:f>
        <x:v>0.43846153846153846</x:v>
      </x:c>
      <x:c r="AA69" s="19" t="str">
        <x:f>IF(L69=0,"Venda imediata",IF(L69&lt;=60,"Baixo",IF(L69&lt;=120,"Médio","Alto")))</x:f>
        <x:v>Venda imediata</x:v>
      </x:c>
      <x:c r="AB69" s="19" t="str">
        <x:f>IF(U69&lt;0,"Não fazer",IF(AA69="Alto","Risco seca",IF(Z69&gt;=0.03,"Bom giro","Margem ok")))</x:f>
        <x:v>Bom giro</x:v>
      </x:c>
    </x:row>
    <x:row r="70">
      <x:c r="A70" s="19" t="str">
        <x:v>Lote maior - base 8,5@</x:v>
      </x:c>
      <x:c r="B70" s="19" t="str">
        <x:v>Agressiva</x:v>
      </x:c>
      <x:c r="C70" s="19" t="str">
        <x:v>Bom</x:v>
      </x:c>
      <x:c r="D70" s="19" t="n">
        <x:v>9</x:v>
      </x:c>
      <x:c r="E70" s="21" t="n">
        <x:f>Premissas!$B$6</x:f>
        <x:v>330</x:v>
      </x:c>
      <x:c r="F70" s="19" t="n">
        <x:f>XLOOKUP(A70,Lotes!$A$4:$A$8,Lotes!$B$4:$B$8,0)</x:f>
        <x:v>17</x:v>
      </x:c>
      <x:c r="G70" s="23" t="n">
        <x:f>XLOOKUP(A70,Lotes!$A$4:$A$8,Lotes!$C$4:$C$8,0)</x:f>
        <x:v>8.5</x:v>
      </x:c>
      <x:c r="H70" s="23" t="n">
        <x:f>G70*Premissas!$B$5/Premissas!$B$4</x:f>
        <x:v>231.8181818181818</x:v>
      </x:c>
      <x:c r="I70" s="23" t="n">
        <x:f>D70*Premissas!$B$5/Premissas!$B$4</x:f>
        <x:v>245.45454545454544</x:v>
      </x:c>
      <x:c r="J70" s="23" t="n">
        <x:f>MAX(0,I70-H70)</x:f>
        <x:v>13.636363636363626</x:v>
      </x:c>
      <x:c r="K70" s="23" t="n">
        <x:f>SUMIFS('Cenários de GMD'!$C$4:$C$19,'Cenários de GMD'!$A$4:$A$19,B70,'Cenários de GMD'!$B$4:$B$19,C70)</x:f>
        <x:v>1</x:v>
      </x:c>
      <x:c r="L70" s="23" t="n">
        <x:f>IF(J70=0,0,J70/K70)</x:f>
        <x:v>13.636363636363626</x:v>
      </x:c>
      <x:c r="M70" s="23" t="n">
        <x:f>((H70+I70)/2)*SUMIFS('Cenários de GMD'!$D$4:$D$19,'Cenários de GMD'!$A$4:$A$19,B70,'Cenários de GMD'!$B$4:$B$19,C70)</x:f>
        <x:v>0.23863636363636362</x:v>
      </x:c>
      <x:c r="N70" s="23" t="n">
        <x:f>((H70+I70)/2)*SUMIFS('Cenários de GMD'!$E$4:$E$19,'Cenários de GMD'!$A$4:$A$19,B70,'Cenários de GMD'!$B$4:$B$19,C70)</x:f>
        <x:v>1.6704545454545454</x:v>
      </x:c>
      <x:c r="O70" s="21" t="n">
        <x:f>M70*Insumos!$E$4+N70*Insumos!$E$5</x:f>
        <x:v>4.037568181818182</x:v>
      </x:c>
      <x:c r="P70" s="21" t="n">
        <x:f>O70*Premissas!$B$7</x:f>
        <x:v>121.12704545454547</x:v>
      </x:c>
      <x:c r="Q70" s="21" t="n">
        <x:f>O70*L70</x:f>
        <x:v>55.05774793388426</x:v>
      </x:c>
      <x:c r="R70" s="21" t="n">
        <x:f>Premissas!$B$7*Premissas!$B$8*L70</x:f>
        <x:v>0</x:v>
      </x:c>
      <x:c r="S70" s="21" t="n">
        <x:f>D70*E70</x:f>
        <x:v>2970</x:v>
      </x:c>
      <x:c r="T70" s="21" t="n">
        <x:f>S70*F70</x:f>
        <x:v>50490</x:v>
      </x:c>
      <x:c r="U70" s="21" t="n">
        <x:f>S70-XLOOKUP(A70,Lotes!$A$4:$A$8,Lotes!$D$4:$D$8,Premissas!$B$9)-Q70-R70</x:f>
        <x:v>964.9422520661158</x:v>
      </x:c>
      <x:c r="V70" s="21" t="n">
        <x:f>U70*F70</x:f>
        <x:v>16404.01828512397</x:v>
      </x:c>
      <x:c r="W70" s="20" t="n">
        <x:f>IF(S70=0,0,U70/S70)</x:f>
        <x:v>0.32489638116704234</x:v>
      </x:c>
      <x:c r="X70" s="21" t="n">
        <x:f>IF(D70-G70&lt;=0,0,Q70/(D70-G70))</x:f>
        <x:v>110.11549586776852</x:v>
      </x:c>
      <x:c r="Y70" s="20" t="n">
        <x:f>IFERROR(U70/(XLOOKUP(A70,Lotes!$A$4:$A$8,Lotes!$D$4:$D$8,Premissas!$B$9)+Q70+R70),0)</x:f>
        <x:v>0.48125409508052447</x:v>
      </x:c>
      <x:c r="Z70" s="20" t="n">
        <x:f>IF(L70=0,Y70,Y70/MAX(1,L70/Premissas!$B$7))</x:f>
        <x:v>0.48125409508052447</x:v>
      </x:c>
      <x:c r="AA70" s="19" t="str">
        <x:f>IF(L70=0,"Venda imediata",IF(L70&lt;=60,"Baixo",IF(L70&lt;=120,"Médio","Alto")))</x:f>
        <x:v>Baixo</x:v>
      </x:c>
      <x:c r="AB70" s="19" t="str">
        <x:f>IF(U70&lt;0,"Não fazer",IF(AA70="Alto","Risco seca",IF(Z70&gt;=0.03,"Bom giro","Margem ok")))</x:f>
        <x:v>Bom giro</x:v>
      </x:c>
    </x:row>
    <x:row r="71">
      <x:c r="A71" s="19" t="str">
        <x:v>Lote maior - base 8,5@</x:v>
      </x:c>
      <x:c r="B71" s="19" t="str">
        <x:v>Agressiva</x:v>
      </x:c>
      <x:c r="C71" s="19" t="str">
        <x:v>Bom</x:v>
      </x:c>
      <x:c r="D71" s="19" t="n">
        <x:v>10.5</x:v>
      </x:c>
      <x:c r="E71" s="21" t="n">
        <x:f>Premissas!$B$6</x:f>
        <x:v>330</x:v>
      </x:c>
      <x:c r="F71" s="19" t="n">
        <x:f>XLOOKUP(A71,Lotes!$A$4:$A$8,Lotes!$B$4:$B$8,0)</x:f>
        <x:v>17</x:v>
      </x:c>
      <x:c r="G71" s="23" t="n">
        <x:f>XLOOKUP(A71,Lotes!$A$4:$A$8,Lotes!$C$4:$C$8,0)</x:f>
        <x:v>8.5</x:v>
      </x:c>
      <x:c r="H71" s="23" t="n">
        <x:f>G71*Premissas!$B$5/Premissas!$B$4</x:f>
        <x:v>231.8181818181818</x:v>
      </x:c>
      <x:c r="I71" s="23" t="n">
        <x:f>D71*Premissas!$B$5/Premissas!$B$4</x:f>
        <x:v>286.3636363636363</x:v>
      </x:c>
      <x:c r="J71" s="23" t="n">
        <x:f>MAX(0,I71-H71)</x:f>
        <x:v>54.545454545454504</x:v>
      </x:c>
      <x:c r="K71" s="23" t="n">
        <x:f>SUMIFS('Cenários de GMD'!$C$4:$C$19,'Cenários de GMD'!$A$4:$A$19,B71,'Cenários de GMD'!$B$4:$B$19,C71)</x:f>
        <x:v>1</x:v>
      </x:c>
      <x:c r="L71" s="23" t="n">
        <x:f>IF(J71=0,0,J71/K71)</x:f>
        <x:v>54.545454545454504</x:v>
      </x:c>
      <x:c r="M71" s="23" t="n">
        <x:f>((H71+I71)/2)*SUMIFS('Cenários de GMD'!$D$4:$D$19,'Cenários de GMD'!$A$4:$A$19,B71,'Cenários de GMD'!$B$4:$B$19,C71)</x:f>
        <x:v>0.2590909090909091</x:v>
      </x:c>
      <x:c r="N71" s="23" t="n">
        <x:f>((H71+I71)/2)*SUMIFS('Cenários de GMD'!$E$4:$E$19,'Cenários de GMD'!$A$4:$A$19,B71,'Cenários de GMD'!$B$4:$B$19,C71)</x:f>
        <x:v>1.8136363636363635</x:v>
      </x:c>
      <x:c r="O71" s="21" t="n">
        <x:f>M71*Insumos!$E$4+N71*Insumos!$E$5</x:f>
        <x:v>4.383645454545454</x:v>
      </x:c>
      <x:c r="P71" s="21" t="n">
        <x:f>O71*Premissas!$B$7</x:f>
        <x:v>131.50936363636362</x:v>
      </x:c>
      <x:c r="Q71" s="21" t="n">
        <x:f>O71*L71</x:f>
        <x:v>239.10793388429732</x:v>
      </x:c>
      <x:c r="R71" s="21" t="n">
        <x:f>Premissas!$B$7*Premissas!$B$8*L71</x:f>
        <x:v>0</x:v>
      </x:c>
      <x:c r="S71" s="21" t="n">
        <x:f>D71*E71</x:f>
        <x:v>3465</x:v>
      </x:c>
      <x:c r="T71" s="21" t="n">
        <x:f>S71*F71</x:f>
        <x:v>58905</x:v>
      </x:c>
      <x:c r="U71" s="21" t="n">
        <x:f>S71-XLOOKUP(A71,Lotes!$A$4:$A$8,Lotes!$D$4:$D$8,Premissas!$B$9)-Q71-R71</x:f>
        <x:v>1275.8920661157026</x:v>
      </x:c>
      <x:c r="V71" s="21" t="n">
        <x:f>U71*F71</x:f>
        <x:v>21690.165123966945</x:v>
      </x:c>
      <x:c r="W71" s="20" t="n">
        <x:f>IF(S71=0,0,U71/S71)</x:f>
        <x:v>0.3682228185038103</x:v>
      </x:c>
      <x:c r="X71" s="21" t="n">
        <x:f>IF(D71-G71&lt;=0,0,Q71/(D71-G71))</x:f>
        <x:v>119.55396694214866</x:v>
      </x:c>
      <x:c r="Y71" s="20" t="n">
        <x:f>IFERROR(U71/(XLOOKUP(A71,Lotes!$A$4:$A$8,Lotes!$D$4:$D$8,Premissas!$B$9)+Q71+R71),0)</x:f>
        <x:v>0.5828365273208764</x:v>
      </x:c>
      <x:c r="Z71" s="20" t="n">
        <x:f>IF(L71=0,Y71,Y71/MAX(1,L71/Premissas!$B$7))</x:f>
        <x:v>0.3205600900264823</x:v>
      </x:c>
      <x:c r="AA71" s="19" t="str">
        <x:f>IF(L71=0,"Venda imediata",IF(L71&lt;=60,"Baixo",IF(L71&lt;=120,"Médio","Alto")))</x:f>
        <x:v>Baixo</x:v>
      </x:c>
      <x:c r="AB71" s="19" t="str">
        <x:f>IF(U71&lt;0,"Não fazer",IF(AA71="Alto","Risco seca",IF(Z71&gt;=0.03,"Bom giro","Margem ok")))</x:f>
        <x:v>Bom giro</x:v>
      </x:c>
    </x:row>
    <x:row r="72">
      <x:c r="A72" s="19" t="str">
        <x:v>Lote maior - base 8,5@</x:v>
      </x:c>
      <x:c r="B72" s="19" t="str">
        <x:v>Agressiva</x:v>
      </x:c>
      <x:c r="C72" s="19" t="str">
        <x:v>Bom</x:v>
      </x:c>
      <x:c r="D72" s="19" t="n">
        <x:v>11</x:v>
      </x:c>
      <x:c r="E72" s="21" t="n">
        <x:f>Premissas!$B$6</x:f>
        <x:v>330</x:v>
      </x:c>
      <x:c r="F72" s="19" t="n">
        <x:f>XLOOKUP(A72,Lotes!$A$4:$A$8,Lotes!$B$4:$B$8,0)</x:f>
        <x:v>17</x:v>
      </x:c>
      <x:c r="G72" s="23" t="n">
        <x:f>XLOOKUP(A72,Lotes!$A$4:$A$8,Lotes!$C$4:$C$8,0)</x:f>
        <x:v>8.5</x:v>
      </x:c>
      <x:c r="H72" s="23" t="n">
        <x:f>G72*Premissas!$B$5/Premissas!$B$4</x:f>
        <x:v>231.8181818181818</x:v>
      </x:c>
      <x:c r="I72" s="23" t="n">
        <x:f>D72*Premissas!$B$5/Premissas!$B$4</x:f>
        <x:v>300</x:v>
      </x:c>
      <x:c r="J72" s="23" t="n">
        <x:f>MAX(0,I72-H72)</x:f>
        <x:v>68.18181818181819</x:v>
      </x:c>
      <x:c r="K72" s="23" t="n">
        <x:f>SUMIFS('Cenários de GMD'!$C$4:$C$19,'Cenários de GMD'!$A$4:$A$19,B72,'Cenários de GMD'!$B$4:$B$19,C72)</x:f>
        <x:v>1</x:v>
      </x:c>
      <x:c r="L72" s="23" t="n">
        <x:f>IF(J72=0,0,J72/K72)</x:f>
        <x:v>68.18181818181819</x:v>
      </x:c>
      <x:c r="M72" s="23" t="n">
        <x:f>((H72+I72)/2)*SUMIFS('Cenários de GMD'!$D$4:$D$19,'Cenários de GMD'!$A$4:$A$19,B72,'Cenários de GMD'!$B$4:$B$19,C72)</x:f>
        <x:v>0.2659090909090909</x:v>
      </x:c>
      <x:c r="N72" s="23" t="n">
        <x:f>((H72+I72)/2)*SUMIFS('Cenários de GMD'!$E$4:$E$19,'Cenários de GMD'!$A$4:$A$19,B72,'Cenários de GMD'!$B$4:$B$19,C72)</x:f>
        <x:v>1.861363636363636</x:v>
      </x:c>
      <x:c r="O72" s="21" t="n">
        <x:f>M72*Insumos!$E$4+N72*Insumos!$E$5</x:f>
        <x:v>4.499004545454545</x:v>
      </x:c>
      <x:c r="P72" s="21" t="n">
        <x:f>O72*Premissas!$B$7</x:f>
        <x:v>134.97013636363636</x:v>
      </x:c>
      <x:c r="Q72" s="21" t="n">
        <x:f>O72*L72</x:f>
        <x:v>306.75030991735537</x:v>
      </x:c>
      <x:c r="R72" s="21" t="n">
        <x:f>Premissas!$B$7*Premissas!$B$8*L72</x:f>
        <x:v>0</x:v>
      </x:c>
      <x:c r="S72" s="21" t="n">
        <x:f>D72*E72</x:f>
        <x:v>3630</x:v>
      </x:c>
      <x:c r="T72" s="21" t="n">
        <x:f>S72*F72</x:f>
        <x:v>61710</x:v>
      </x:c>
      <x:c r="U72" s="21" t="n">
        <x:f>S72-XLOOKUP(A72,Lotes!$A$4:$A$8,Lotes!$D$4:$D$8,Premissas!$B$9)-Q72-R72</x:f>
        <x:v>1373.2496900826445</x:v>
      </x:c>
      <x:c r="V72" s="21" t="n">
        <x:f>U72*F72</x:f>
        <x:v>23345.244731404957</x:v>
      </x:c>
      <x:c r="W72" s="20" t="n">
        <x:f>IF(S72=0,0,U72/S72)</x:f>
        <x:v>0.378305699747285</x:v>
      </x:c>
      <x:c r="X72" s="21" t="n">
        <x:f>IF(D72-G72&lt;=0,0,Q72/(D72-G72))</x:f>
        <x:v>122.70012396694214</x:v>
      </x:c>
      <x:c r="Y72" s="20" t="n">
        <x:f>IFERROR(U72/(XLOOKUP(A72,Lotes!$A$4:$A$8,Lotes!$D$4:$D$8,Premissas!$B$9)+Q72+R72),0)</x:f>
        <x:v>0.6085075890087878</x:v>
      </x:c>
      <x:c r="Z72" s="20" t="n">
        <x:f>IF(L72=0,Y72,Y72/MAX(1,L72/Premissas!$B$7))</x:f>
        <x:v>0.2677433391638666</x:v>
      </x:c>
      <x:c r="AA72" s="19" t="str">
        <x:f>IF(L72=0,"Venda imediata",IF(L72&lt;=60,"Baixo",IF(L72&lt;=120,"Médio","Alto")))</x:f>
        <x:v>Médio</x:v>
      </x:c>
      <x:c r="AB72" s="19" t="str">
        <x:f>IF(U72&lt;0,"Não fazer",IF(AA72="Alto","Risco seca",IF(Z72&gt;=0.03,"Bom giro","Margem ok")))</x:f>
        <x:v>Bom giro</x:v>
      </x:c>
    </x:row>
    <x:row r="73">
      <x:c r="A73" s="19" t="str">
        <x:v>Lote maior - base 8,5@</x:v>
      </x:c>
      <x:c r="B73" s="19" t="str">
        <x:v>Agressiva</x:v>
      </x:c>
      <x:c r="C73" s="19" t="str">
        <x:v>Bom</x:v>
      </x:c>
      <x:c r="D73" s="19" t="n">
        <x:v>12</x:v>
      </x:c>
      <x:c r="E73" s="21" t="n">
        <x:f>Premissas!$B$6</x:f>
        <x:v>330</x:v>
      </x:c>
      <x:c r="F73" s="19" t="n">
        <x:f>XLOOKUP(A73,Lotes!$A$4:$A$8,Lotes!$B$4:$B$8,0)</x:f>
        <x:v>17</x:v>
      </x:c>
      <x:c r="G73" s="23" t="n">
        <x:f>XLOOKUP(A73,Lotes!$A$4:$A$8,Lotes!$C$4:$C$8,0)</x:f>
        <x:v>8.5</x:v>
      </x:c>
      <x:c r="H73" s="23" t="n">
        <x:f>G73*Premissas!$B$5/Premissas!$B$4</x:f>
        <x:v>231.8181818181818</x:v>
      </x:c>
      <x:c r="I73" s="23" t="n">
        <x:f>D73*Premissas!$B$5/Premissas!$B$4</x:f>
        <x:v>327.27272727272725</x:v>
      </x:c>
      <x:c r="J73" s="23" t="n">
        <x:f>MAX(0,I73-H73)</x:f>
        <x:v>95.45454545454544</x:v>
      </x:c>
      <x:c r="K73" s="23" t="n">
        <x:f>SUMIFS('Cenários de GMD'!$C$4:$C$19,'Cenários de GMD'!$A$4:$A$19,B73,'Cenários de GMD'!$B$4:$B$19,C73)</x:f>
        <x:v>1</x:v>
      </x:c>
      <x:c r="L73" s="23" t="n">
        <x:f>IF(J73=0,0,J73/K73)</x:f>
        <x:v>95.45454545454544</x:v>
      </x:c>
      <x:c r="M73" s="23" t="n">
        <x:f>((H73+I73)/2)*SUMIFS('Cenários de GMD'!$D$4:$D$19,'Cenários de GMD'!$A$4:$A$19,B73,'Cenários de GMD'!$B$4:$B$19,C73)</x:f>
        <x:v>0.2795454545454545</x:v>
      </x:c>
      <x:c r="N73" s="23" t="n">
        <x:f>((H73+I73)/2)*SUMIFS('Cenários de GMD'!$E$4:$E$19,'Cenários de GMD'!$A$4:$A$19,B73,'Cenários de GMD'!$B$4:$B$19,C73)</x:f>
        <x:v>1.9568181818181816</x:v>
      </x:c>
      <x:c r="O73" s="21" t="n">
        <x:f>M73*Insumos!$E$4+N73*Insumos!$E$5</x:f>
        <x:v>4.729722727272726</x:v>
      </x:c>
      <x:c r="P73" s="21" t="n">
        <x:f>O73*Premissas!$B$7</x:f>
        <x:v>141.89168181818178</x:v>
      </x:c>
      <x:c r="Q73" s="21" t="n">
        <x:f>O73*L73</x:f>
        <x:v>451.47353305785106</x:v>
      </x:c>
      <x:c r="R73" s="21" t="n">
        <x:f>Premissas!$B$7*Premissas!$B$8*L73</x:f>
        <x:v>0</x:v>
      </x:c>
      <x:c r="S73" s="21" t="n">
        <x:f>D73*E73</x:f>
        <x:v>3960</x:v>
      </x:c>
      <x:c r="T73" s="21" t="n">
        <x:f>S73*F73</x:f>
        <x:v>67320</x:v>
      </x:c>
      <x:c r="U73" s="21" t="n">
        <x:f>S73-XLOOKUP(A73,Lotes!$A$4:$A$8,Lotes!$D$4:$D$8,Premissas!$B$9)-Q73-R73</x:f>
        <x:v>1558.526466942149</x:v>
      </x:c>
      <x:c r="V73" s="21" t="n">
        <x:f>U73*F73</x:f>
        <x:v>26494.949938016533</x:v>
      </x:c>
      <x:c r="W73" s="20" t="n">
        <x:f>IF(S73=0,0,U73/S73)</x:f>
        <x:v>0.39356728963185583</x:v>
      </x:c>
      <x:c r="X73" s="21" t="n">
        <x:f>IF(D73-G73&lt;=0,0,Q73/(D73-G73))</x:f>
        <x:v>128.99243801652887</x:v>
      </x:c>
      <x:c r="Y73" s="20" t="n">
        <x:f>IFERROR(U73/(XLOOKUP(A73,Lotes!$A$4:$A$8,Lotes!$D$4:$D$8,Premissas!$B$9)+Q73+R73),0)</x:f>
        <x:v>0.6489875676279645</x:v>
      </x:c>
      <x:c r="Z73" s="20" t="n">
        <x:f>IF(L73=0,Y73,Y73/MAX(1,L73/Premissas!$B$7))</x:f>
        <x:v>0.20396752125450318</x:v>
      </x:c>
      <x:c r="AA73" s="19" t="str">
        <x:f>IF(L73=0,"Venda imediata",IF(L73&lt;=60,"Baixo",IF(L73&lt;=120,"Médio","Alto")))</x:f>
        <x:v>Médio</x:v>
      </x:c>
      <x:c r="AB73" s="19" t="str">
        <x:f>IF(U73&lt;0,"Não fazer",IF(AA73="Alto","Risco seca",IF(Z73&gt;=0.03,"Bom giro","Margem ok")))</x:f>
        <x:v>Bom giro</x:v>
      </x:c>
    </x:row>
    <x:row r="74">
      <x:c r="A74" s="19" t="str">
        <x:v>Lote maior - base 8,5@</x:v>
      </x:c>
      <x:c r="B74" s="19" t="str">
        <x:v>Agressiva</x:v>
      </x:c>
      <x:c r="C74" s="19" t="str">
        <x:v>Ótimo</x:v>
      </x:c>
      <x:c r="D74" s="19" t="n">
        <x:v>8.5</x:v>
      </x:c>
      <x:c r="E74" s="21" t="n">
        <x:f>Premissas!$B$6</x:f>
        <x:v>330</x:v>
      </x:c>
      <x:c r="F74" s="19" t="n">
        <x:f>XLOOKUP(A74,Lotes!$A$4:$A$8,Lotes!$B$4:$B$8,0)</x:f>
        <x:v>17</x:v>
      </x:c>
      <x:c r="G74" s="23" t="n">
        <x:f>XLOOKUP(A74,Lotes!$A$4:$A$8,Lotes!$C$4:$C$8,0)</x:f>
        <x:v>8.5</x:v>
      </x:c>
      <x:c r="H74" s="23" t="n">
        <x:f>G74*Premissas!$B$5/Premissas!$B$4</x:f>
        <x:v>231.8181818181818</x:v>
      </x:c>
      <x:c r="I74" s="23" t="n">
        <x:f>D74*Premissas!$B$5/Premissas!$B$4</x:f>
        <x:v>231.8181818181818</x:v>
      </x:c>
      <x:c r="J74" s="23" t="n">
        <x:f>MAX(0,I74-H74)</x:f>
        <x:v>0</x:v>
      </x:c>
      <x:c r="K74" s="23" t="n">
        <x:f>SUMIFS('Cenários de GMD'!$C$4:$C$19,'Cenários de GMD'!$A$4:$A$19,B74,'Cenários de GMD'!$B$4:$B$19,C74)</x:f>
        <x:v>1.1</x:v>
      </x:c>
      <x:c r="L74" s="23" t="n">
        <x:f>IF(J74=0,0,J74/K74)</x:f>
        <x:v>0</x:v>
      </x:c>
      <x:c r="M74" s="23" t="n">
        <x:f>((H74+I74)/2)*SUMIFS('Cenários de GMD'!$D$4:$D$19,'Cenários de GMD'!$A$4:$A$19,B74,'Cenários de GMD'!$B$4:$B$19,C74)</x:f>
        <x:v>0.2318181818181818</x:v>
      </x:c>
      <x:c r="N74" s="23" t="n">
        <x:f>((H74+I74)/2)*SUMIFS('Cenários de GMD'!$E$4:$E$19,'Cenários de GMD'!$A$4:$A$19,B74,'Cenários de GMD'!$B$4:$B$19,C74)</x:f>
        <x:v>1.6227272727272728</x:v>
      </x:c>
      <x:c r="O74" s="21" t="n">
        <x:f>M74*Insumos!$E$4+N74*Insumos!$E$5</x:f>
        <x:v>3.9222090909090914</x:v>
      </x:c>
      <x:c r="P74" s="21" t="n">
        <x:f>O74*Premissas!$B$7</x:f>
        <x:v>117.66627272727274</x:v>
      </x:c>
      <x:c r="Q74" s="21" t="n">
        <x:f>O74*L74</x:f>
        <x:v>0</x:v>
      </x:c>
      <x:c r="R74" s="21" t="n">
        <x:f>Premissas!$B$7*Premissas!$B$8*L74</x:f>
        <x:v>0</x:v>
      </x:c>
      <x:c r="S74" s="21" t="n">
        <x:f>D74*E74</x:f>
        <x:v>2805</x:v>
      </x:c>
      <x:c r="T74" s="21" t="n">
        <x:f>S74*F74</x:f>
        <x:v>47685</x:v>
      </x:c>
      <x:c r="U74" s="21" t="n">
        <x:f>S74-XLOOKUP(A74,Lotes!$A$4:$A$8,Lotes!$D$4:$D$8,Premissas!$B$9)-Q74-R74</x:f>
        <x:v>855</x:v>
      </x:c>
      <x:c r="V74" s="21" t="n">
        <x:f>U74*F74</x:f>
        <x:v>14535</x:v>
      </x:c>
      <x:c r="W74" s="20" t="n">
        <x:f>IF(S74=0,0,U74/S74)</x:f>
        <x:v>0.3048128342245989</x:v>
      </x:c>
      <x:c r="X74" s="21" t="n">
        <x:f>IF(D74-G74&lt;=0,0,Q74/(D74-G74))</x:f>
        <x:v>0</x:v>
      </x:c>
      <x:c r="Y74" s="20" t="n">
        <x:f>IFERROR(U74/(XLOOKUP(A74,Lotes!$A$4:$A$8,Lotes!$D$4:$D$8,Premissas!$B$9)+Q74+R74),0)</x:f>
        <x:v>0.43846153846153846</x:v>
      </x:c>
      <x:c r="Z74" s="20" t="n">
        <x:f>IF(L74=0,Y74,Y74/MAX(1,L74/Premissas!$B$7))</x:f>
        <x:v>0.43846153846153846</x:v>
      </x:c>
      <x:c r="AA74" s="19" t="str">
        <x:f>IF(L74=0,"Venda imediata",IF(L74&lt;=60,"Baixo",IF(L74&lt;=120,"Médio","Alto")))</x:f>
        <x:v>Venda imediata</x:v>
      </x:c>
      <x:c r="AB74" s="19" t="str">
        <x:f>IF(U74&lt;0,"Não fazer",IF(AA74="Alto","Risco seca",IF(Z74&gt;=0.03,"Bom giro","Margem ok")))</x:f>
        <x:v>Bom giro</x:v>
      </x:c>
    </x:row>
    <x:row r="75">
      <x:c r="A75" s="19" t="str">
        <x:v>Lote maior - base 8,5@</x:v>
      </x:c>
      <x:c r="B75" s="19" t="str">
        <x:v>Agressiva</x:v>
      </x:c>
      <x:c r="C75" s="19" t="str">
        <x:v>Ótimo</x:v>
      </x:c>
      <x:c r="D75" s="19" t="n">
        <x:v>9</x:v>
      </x:c>
      <x:c r="E75" s="21" t="n">
        <x:f>Premissas!$B$6</x:f>
        <x:v>330</x:v>
      </x:c>
      <x:c r="F75" s="19" t="n">
        <x:f>XLOOKUP(A75,Lotes!$A$4:$A$8,Lotes!$B$4:$B$8,0)</x:f>
        <x:v>17</x:v>
      </x:c>
      <x:c r="G75" s="23" t="n">
        <x:f>XLOOKUP(A75,Lotes!$A$4:$A$8,Lotes!$C$4:$C$8,0)</x:f>
        <x:v>8.5</x:v>
      </x:c>
      <x:c r="H75" s="23" t="n">
        <x:f>G75*Premissas!$B$5/Premissas!$B$4</x:f>
        <x:v>231.8181818181818</x:v>
      </x:c>
      <x:c r="I75" s="23" t="n">
        <x:f>D75*Premissas!$B$5/Premissas!$B$4</x:f>
        <x:v>245.45454545454544</x:v>
      </x:c>
      <x:c r="J75" s="23" t="n">
        <x:f>MAX(0,I75-H75)</x:f>
        <x:v>13.636363636363626</x:v>
      </x:c>
      <x:c r="K75" s="23" t="n">
        <x:f>SUMIFS('Cenários de GMD'!$C$4:$C$19,'Cenários de GMD'!$A$4:$A$19,B75,'Cenários de GMD'!$B$4:$B$19,C75)</x:f>
        <x:v>1.1</x:v>
      </x:c>
      <x:c r="L75" s="23" t="n">
        <x:f>IF(J75=0,0,J75/K75)</x:f>
        <x:v>12.396694214876023</x:v>
      </x:c>
      <x:c r="M75" s="23" t="n">
        <x:f>((H75+I75)/2)*SUMIFS('Cenários de GMD'!$D$4:$D$19,'Cenários de GMD'!$A$4:$A$19,B75,'Cenários de GMD'!$B$4:$B$19,C75)</x:f>
        <x:v>0.23863636363636362</x:v>
      </x:c>
      <x:c r="N75" s="23" t="n">
        <x:f>((H75+I75)/2)*SUMIFS('Cenários de GMD'!$E$4:$E$19,'Cenários de GMD'!$A$4:$A$19,B75,'Cenários de GMD'!$B$4:$B$19,C75)</x:f>
        <x:v>1.6704545454545454</x:v>
      </x:c>
      <x:c r="O75" s="21" t="n">
        <x:f>M75*Insumos!$E$4+N75*Insumos!$E$5</x:f>
        <x:v>4.037568181818182</x:v>
      </x:c>
      <x:c r="P75" s="21" t="n">
        <x:f>O75*Premissas!$B$7</x:f>
        <x:v>121.12704545454547</x:v>
      </x:c>
      <x:c r="Q75" s="21" t="n">
        <x:f>O75*L75</x:f>
        <x:v>50.05249812171296</x:v>
      </x:c>
      <x:c r="R75" s="21" t="n">
        <x:f>Premissas!$B$7*Premissas!$B$8*L75</x:f>
        <x:v>0</x:v>
      </x:c>
      <x:c r="S75" s="21" t="n">
        <x:f>D75*E75</x:f>
        <x:v>2970</x:v>
      </x:c>
      <x:c r="T75" s="21" t="n">
        <x:f>S75*F75</x:f>
        <x:v>50490</x:v>
      </x:c>
      <x:c r="U75" s="21" t="n">
        <x:f>S75-XLOOKUP(A75,Lotes!$A$4:$A$8,Lotes!$D$4:$D$8,Premissas!$B$9)-Q75-R75</x:f>
        <x:v>969.9475018782871</x:v>
      </x:c>
      <x:c r="V75" s="21" t="n">
        <x:f>U75*F75</x:f>
        <x:v>16489.10753193088</x:v>
      </x:c>
      <x:c r="W75" s="20" t="n">
        <x:f>IF(S75=0,0,U75/S75)</x:f>
        <x:v>0.32658165046406973</x:v>
      </x:c>
      <x:c r="X75" s="21" t="n">
        <x:f>IF(D75-G75&lt;=0,0,Q75/(D75-G75))</x:f>
        <x:v>100.10499624342592</x:v>
      </x:c>
      <x:c r="Y75" s="20" t="n">
        <x:f>IFERROR(U75/(XLOOKUP(A75,Lotes!$A$4:$A$8,Lotes!$D$4:$D$8,Premissas!$B$9)+Q75+R75),0)</x:f>
        <x:v>0.4849610211677859</x:v>
      </x:c>
      <x:c r="Z75" s="20" t="n">
        <x:f>IF(L75=0,Y75,Y75/MAX(1,L75/Premissas!$B$7))</x:f>
        <x:v>0.4849610211677859</x:v>
      </x:c>
      <x:c r="AA75" s="19" t="str">
        <x:f>IF(L75=0,"Venda imediata",IF(L75&lt;=60,"Baixo",IF(L75&lt;=120,"Médio","Alto")))</x:f>
        <x:v>Baixo</x:v>
      </x:c>
      <x:c r="AB75" s="19" t="str">
        <x:f>IF(U75&lt;0,"Não fazer",IF(AA75="Alto","Risco seca",IF(Z75&gt;=0.03,"Bom giro","Margem ok")))</x:f>
        <x:v>Bom giro</x:v>
      </x:c>
    </x:row>
    <x:row r="76">
      <x:c r="A76" s="19" t="str">
        <x:v>Lote maior - base 8,5@</x:v>
      </x:c>
      <x:c r="B76" s="19" t="str">
        <x:v>Agressiva</x:v>
      </x:c>
      <x:c r="C76" s="19" t="str">
        <x:v>Ótimo</x:v>
      </x:c>
      <x:c r="D76" s="19" t="n">
        <x:v>10.5</x:v>
      </x:c>
      <x:c r="E76" s="21" t="n">
        <x:f>Premissas!$B$6</x:f>
        <x:v>330</x:v>
      </x:c>
      <x:c r="F76" s="19" t="n">
        <x:f>XLOOKUP(A76,Lotes!$A$4:$A$8,Lotes!$B$4:$B$8,0)</x:f>
        <x:v>17</x:v>
      </x:c>
      <x:c r="G76" s="23" t="n">
        <x:f>XLOOKUP(A76,Lotes!$A$4:$A$8,Lotes!$C$4:$C$8,0)</x:f>
        <x:v>8.5</x:v>
      </x:c>
      <x:c r="H76" s="23" t="n">
        <x:f>G76*Premissas!$B$5/Premissas!$B$4</x:f>
        <x:v>231.8181818181818</x:v>
      </x:c>
      <x:c r="I76" s="23" t="n">
        <x:f>D76*Premissas!$B$5/Premissas!$B$4</x:f>
        <x:v>286.3636363636363</x:v>
      </x:c>
      <x:c r="J76" s="23" t="n">
        <x:f>MAX(0,I76-H76)</x:f>
        <x:v>54.545454545454504</x:v>
      </x:c>
      <x:c r="K76" s="23" t="n">
        <x:f>SUMIFS('Cenários de GMD'!$C$4:$C$19,'Cenários de GMD'!$A$4:$A$19,B76,'Cenários de GMD'!$B$4:$B$19,C76)</x:f>
        <x:v>1.1</x:v>
      </x:c>
      <x:c r="L76" s="23" t="n">
        <x:f>IF(J76=0,0,J76/K76)</x:f>
        <x:v>49.58677685950409</x:v>
      </x:c>
      <x:c r="M76" s="23" t="n">
        <x:f>((H76+I76)/2)*SUMIFS('Cenários de GMD'!$D$4:$D$19,'Cenários de GMD'!$A$4:$A$19,B76,'Cenários de GMD'!$B$4:$B$19,C76)</x:f>
        <x:v>0.2590909090909091</x:v>
      </x:c>
      <x:c r="N76" s="23" t="n">
        <x:f>((H76+I76)/2)*SUMIFS('Cenários de GMD'!$E$4:$E$19,'Cenários de GMD'!$A$4:$A$19,B76,'Cenários de GMD'!$B$4:$B$19,C76)</x:f>
        <x:v>1.8136363636363635</x:v>
      </x:c>
      <x:c r="O76" s="21" t="n">
        <x:f>M76*Insumos!$E$4+N76*Insumos!$E$5</x:f>
        <x:v>4.383645454545454</x:v>
      </x:c>
      <x:c r="P76" s="21" t="n">
        <x:f>O76*Premissas!$B$7</x:f>
        <x:v>131.50936363636362</x:v>
      </x:c>
      <x:c r="Q76" s="21" t="n">
        <x:f>O76*L76</x:f>
        <x:v>217.37084898572482</x:v>
      </x:c>
      <x:c r="R76" s="21" t="n">
        <x:f>Premissas!$B$7*Premissas!$B$8*L76</x:f>
        <x:v>0</x:v>
      </x:c>
      <x:c r="S76" s="21" t="n">
        <x:f>D76*E76</x:f>
        <x:v>3465</x:v>
      </x:c>
      <x:c r="T76" s="21" t="n">
        <x:f>S76*F76</x:f>
        <x:v>58905</x:v>
      </x:c>
      <x:c r="U76" s="21" t="n">
        <x:f>S76-XLOOKUP(A76,Lotes!$A$4:$A$8,Lotes!$D$4:$D$8,Premissas!$B$9)-Q76-R76</x:f>
        <x:v>1297.629151014275</x:v>
      </x:c>
      <x:c r="V76" s="21" t="n">
        <x:f>U76*F76</x:f>
        <x:v>22059.695567242677</x:v>
      </x:c>
      <x:c r="W76" s="20" t="n">
        <x:f>IF(S76=0,0,U76/S76)</x:f>
        <x:v>0.3744961474788673</x:v>
      </x:c>
      <x:c r="X76" s="21" t="n">
        <x:f>IF(D76-G76&lt;=0,0,Q76/(D76-G76))</x:f>
        <x:v>108.68542449286241</x:v>
      </x:c>
      <x:c r="Y76" s="20" t="n">
        <x:f>IFERROR(U76/(XLOOKUP(A76,Lotes!$A$4:$A$8,Lotes!$D$4:$D$8,Premissas!$B$9)+Q76+R76),0)</x:f>
        <x:v>0.5987111765490123</x:v>
      </x:c>
      <x:c r="Z76" s="20" t="n">
        <x:f>IF(L76=0,Y76,Y76/MAX(1,L76/Premissas!$B$7))</x:f>
        <x:v>0.3622202618121527</x:v>
      </x:c>
      <x:c r="AA76" s="19" t="str">
        <x:f>IF(L76=0,"Venda imediata",IF(L76&lt;=60,"Baixo",IF(L76&lt;=120,"Médio","Alto")))</x:f>
        <x:v>Baixo</x:v>
      </x:c>
      <x:c r="AB76" s="19" t="str">
        <x:f>IF(U76&lt;0,"Não fazer",IF(AA76="Alto","Risco seca",IF(Z76&gt;=0.03,"Bom giro","Margem ok")))</x:f>
        <x:v>Bom giro</x:v>
      </x:c>
    </x:row>
    <x:row r="77">
      <x:c r="A77" s="19" t="str">
        <x:v>Lote maior - base 8,5@</x:v>
      </x:c>
      <x:c r="B77" s="19" t="str">
        <x:v>Agressiva</x:v>
      </x:c>
      <x:c r="C77" s="19" t="str">
        <x:v>Ótimo</x:v>
      </x:c>
      <x:c r="D77" s="19" t="n">
        <x:v>11</x:v>
      </x:c>
      <x:c r="E77" s="21" t="n">
        <x:f>Premissas!$B$6</x:f>
        <x:v>330</x:v>
      </x:c>
      <x:c r="F77" s="19" t="n">
        <x:f>XLOOKUP(A77,Lotes!$A$4:$A$8,Lotes!$B$4:$B$8,0)</x:f>
        <x:v>17</x:v>
      </x:c>
      <x:c r="G77" s="23" t="n">
        <x:f>XLOOKUP(A77,Lotes!$A$4:$A$8,Lotes!$C$4:$C$8,0)</x:f>
        <x:v>8.5</x:v>
      </x:c>
      <x:c r="H77" s="23" t="n">
        <x:f>G77*Premissas!$B$5/Premissas!$B$4</x:f>
        <x:v>231.8181818181818</x:v>
      </x:c>
      <x:c r="I77" s="23" t="n">
        <x:f>D77*Premissas!$B$5/Premissas!$B$4</x:f>
        <x:v>300</x:v>
      </x:c>
      <x:c r="J77" s="23" t="n">
        <x:f>MAX(0,I77-H77)</x:f>
        <x:v>68.18181818181819</x:v>
      </x:c>
      <x:c r="K77" s="23" t="n">
        <x:f>SUMIFS('Cenários de GMD'!$C$4:$C$19,'Cenários de GMD'!$A$4:$A$19,B77,'Cenários de GMD'!$B$4:$B$19,C77)</x:f>
        <x:v>1.1</x:v>
      </x:c>
      <x:c r="L77" s="23" t="n">
        <x:f>IF(J77=0,0,J77/K77)</x:f>
        <x:v>61.98347107438016</x:v>
      </x:c>
      <x:c r="M77" s="23" t="n">
        <x:f>((H77+I77)/2)*SUMIFS('Cenários de GMD'!$D$4:$D$19,'Cenários de GMD'!$A$4:$A$19,B77,'Cenários de GMD'!$B$4:$B$19,C77)</x:f>
        <x:v>0.2659090909090909</x:v>
      </x:c>
      <x:c r="N77" s="23" t="n">
        <x:f>((H77+I77)/2)*SUMIFS('Cenários de GMD'!$E$4:$E$19,'Cenários de GMD'!$A$4:$A$19,B77,'Cenários de GMD'!$B$4:$B$19,C77)</x:f>
        <x:v>1.861363636363636</x:v>
      </x:c>
      <x:c r="O77" s="21" t="n">
        <x:f>M77*Insumos!$E$4+N77*Insumos!$E$5</x:f>
        <x:v>4.499004545454545</x:v>
      </x:c>
      <x:c r="P77" s="21" t="n">
        <x:f>O77*Premissas!$B$7</x:f>
        <x:v>134.97013636363636</x:v>
      </x:c>
      <x:c r="Q77" s="21" t="n">
        <x:f>O77*L77</x:f>
        <x:v>278.86391810668664</x:v>
      </x:c>
      <x:c r="R77" s="21" t="n">
        <x:f>Premissas!$B$7*Premissas!$B$8*L77</x:f>
        <x:v>0</x:v>
      </x:c>
      <x:c r="S77" s="21" t="n">
        <x:f>D77*E77</x:f>
        <x:v>3630</x:v>
      </x:c>
      <x:c r="T77" s="21" t="n">
        <x:f>S77*F77</x:f>
        <x:v>61710</x:v>
      </x:c>
      <x:c r="U77" s="21" t="n">
        <x:f>S77-XLOOKUP(A77,Lotes!$A$4:$A$8,Lotes!$D$4:$D$8,Premissas!$B$9)-Q77-R77</x:f>
        <x:v>1401.1360818933133</x:v>
      </x:c>
      <x:c r="V77" s="21" t="n">
        <x:f>U77*F77</x:f>
        <x:v>23819.313392186326</x:v>
      </x:c>
      <x:c r="W77" s="20" t="n">
        <x:f>IF(S77=0,0,U77/S77)</x:f>
        <x:v>0.3859879013480202</x:v>
      </x:c>
      <x:c r="X77" s="21" t="n">
        <x:f>IF(D77-G77&lt;=0,0,Q77/(D77-G77))</x:f>
        <x:v>111.54556724267465</x:v>
      </x:c>
      <x:c r="Y77" s="20" t="n">
        <x:f>IFERROR(U77/(XLOOKUP(A77,Lotes!$A$4:$A$8,Lotes!$D$4:$D$8,Premissas!$B$9)+Q77+R77),0)</x:f>
        <x:v>0.6286324034907934</x:v>
      </x:c>
      <x:c r="Z77" s="20" t="n">
        <x:f>IF(L77=0,Y77,Y77/MAX(1,L77/Premissas!$B$7))</x:f>
        <x:v>0.30425808328954407</x:v>
      </x:c>
      <x:c r="AA77" s="19" t="str">
        <x:f>IF(L77=0,"Venda imediata",IF(L77&lt;=60,"Baixo",IF(L77&lt;=120,"Médio","Alto")))</x:f>
        <x:v>Médio</x:v>
      </x:c>
      <x:c r="AB77" s="19" t="str">
        <x:f>IF(U77&lt;0,"Não fazer",IF(AA77="Alto","Risco seca",IF(Z77&gt;=0.03,"Bom giro","Margem ok")))</x:f>
        <x:v>Bom giro</x:v>
      </x:c>
    </x:row>
    <x:row r="78">
      <x:c r="A78" s="19" t="str">
        <x:v>Lote maior - base 8,5@</x:v>
      </x:c>
      <x:c r="B78" s="19" t="str">
        <x:v>Agressiva</x:v>
      </x:c>
      <x:c r="C78" s="19" t="str">
        <x:v>Ótimo</x:v>
      </x:c>
      <x:c r="D78" s="19" t="n">
        <x:v>12</x:v>
      </x:c>
      <x:c r="E78" s="21" t="n">
        <x:f>Premissas!$B$6</x:f>
        <x:v>330</x:v>
      </x:c>
      <x:c r="F78" s="19" t="n">
        <x:f>XLOOKUP(A78,Lotes!$A$4:$A$8,Lotes!$B$4:$B$8,0)</x:f>
        <x:v>17</x:v>
      </x:c>
      <x:c r="G78" s="23" t="n">
        <x:f>XLOOKUP(A78,Lotes!$A$4:$A$8,Lotes!$C$4:$C$8,0)</x:f>
        <x:v>8.5</x:v>
      </x:c>
      <x:c r="H78" s="23" t="n">
        <x:f>G78*Premissas!$B$5/Premissas!$B$4</x:f>
        <x:v>231.8181818181818</x:v>
      </x:c>
      <x:c r="I78" s="23" t="n">
        <x:f>D78*Premissas!$B$5/Premissas!$B$4</x:f>
        <x:v>327.27272727272725</x:v>
      </x:c>
      <x:c r="J78" s="23" t="n">
        <x:f>MAX(0,I78-H78)</x:f>
        <x:v>95.45454545454544</x:v>
      </x:c>
      <x:c r="K78" s="23" t="n">
        <x:f>SUMIFS('Cenários de GMD'!$C$4:$C$19,'Cenários de GMD'!$A$4:$A$19,B78,'Cenários de GMD'!$B$4:$B$19,C78)</x:f>
        <x:v>1.1</x:v>
      </x:c>
      <x:c r="L78" s="23" t="n">
        <x:f>IF(J78=0,0,J78/K78)</x:f>
        <x:v>86.7768595041322</x:v>
      </x:c>
      <x:c r="M78" s="23" t="n">
        <x:f>((H78+I78)/2)*SUMIFS('Cenários de GMD'!$D$4:$D$19,'Cenários de GMD'!$A$4:$A$19,B78,'Cenários de GMD'!$B$4:$B$19,C78)</x:f>
        <x:v>0.2795454545454545</x:v>
      </x:c>
      <x:c r="N78" s="23" t="n">
        <x:f>((H78+I78)/2)*SUMIFS('Cenários de GMD'!$E$4:$E$19,'Cenários de GMD'!$A$4:$A$19,B78,'Cenários de GMD'!$B$4:$B$19,C78)</x:f>
        <x:v>1.9568181818181816</x:v>
      </x:c>
      <x:c r="O78" s="21" t="n">
        <x:f>M78*Insumos!$E$4+N78*Insumos!$E$5</x:f>
        <x:v>4.729722727272726</x:v>
      </x:c>
      <x:c r="P78" s="21" t="n">
        <x:f>O78*Premissas!$B$7</x:f>
        <x:v>141.89168181818178</x:v>
      </x:c>
      <x:c r="Q78" s="21" t="n">
        <x:f>O78*L78</x:f>
        <x:v>410.43048459804635</x:v>
      </x:c>
      <x:c r="R78" s="21" t="n">
        <x:f>Premissas!$B$7*Premissas!$B$8*L78</x:f>
        <x:v>0</x:v>
      </x:c>
      <x:c r="S78" s="21" t="n">
        <x:f>D78*E78</x:f>
        <x:v>3960</x:v>
      </x:c>
      <x:c r="T78" s="21" t="n">
        <x:f>S78*F78</x:f>
        <x:v>67320</x:v>
      </x:c>
      <x:c r="U78" s="21" t="n">
        <x:f>S78-XLOOKUP(A78,Lotes!$A$4:$A$8,Lotes!$D$4:$D$8,Premissas!$B$9)-Q78-R78</x:f>
        <x:v>1599.5695154019536</x:v>
      </x:c>
      <x:c r="V78" s="21" t="n">
        <x:f>U78*F78</x:f>
        <x:v>27192.68176183321</x:v>
      </x:c>
      <x:c r="W78" s="20" t="n">
        <x:f>IF(S78=0,0,U78/S78)</x:f>
        <x:v>0.40393169580857413</x:v>
      </x:c>
      <x:c r="X78" s="21" t="n">
        <x:f>IF(D78-G78&lt;=0,0,Q78/(D78-G78))</x:f>
        <x:v>117.26585274229896</x:v>
      </x:c>
      <x:c r="Y78" s="20" t="n">
        <x:f>IFERROR(U78/(XLOOKUP(A78,Lotes!$A$4:$A$8,Lotes!$D$4:$D$8,Premissas!$B$9)+Q78+R78),0)</x:f>
        <x:v>0.6776600818533919</x:v>
      </x:c>
      <x:c r="Z78" s="20" t="n">
        <x:f>IF(L78=0,Y78,Y78/MAX(1,L78/Premissas!$B$7))</x:f>
        <x:v>0.23427677115502982</x:v>
      </x:c>
      <x:c r="AA78" s="19" t="str">
        <x:f>IF(L78=0,"Venda imediata",IF(L78&lt;=60,"Baixo",IF(L78&lt;=120,"Médio","Alto")))</x:f>
        <x:v>Médio</x:v>
      </x:c>
      <x:c r="AB78" s="19" t="str">
        <x:f>IF(U78&lt;0,"Não fazer",IF(AA78="Alto","Risco seca",IF(Z78&gt;=0.03,"Bom giro","Margem ok")))</x:f>
        <x:v>Bom giro</x:v>
      </x:c>
    </x:row>
    <x:row r="79">
      <x:c r="A79" s="19" t="str">
        <x:v>Lote maior - otimista 9@</x:v>
      </x:c>
      <x:c r="B79" s="19" t="str">
        <x:v>Somente Fortis</x:v>
      </x:c>
      <x:c r="C79" s="19" t="str">
        <x:v>Pasto fraco</x:v>
      </x:c>
      <x:c r="D79" s="19" t="n">
        <x:v>8.5</x:v>
      </x:c>
      <x:c r="E79" s="21" t="n">
        <x:f>Premissas!$B$6</x:f>
        <x:v>330</x:v>
      </x:c>
      <x:c r="F79" s="19" t="n">
        <x:f>XLOOKUP(A79,Lotes!$A$4:$A$8,Lotes!$B$4:$B$8,0)</x:f>
        <x:v>17</x:v>
      </x:c>
      <x:c r="G79" s="23" t="n">
        <x:f>XLOOKUP(A79,Lotes!$A$4:$A$8,Lotes!$C$4:$C$8,0)</x:f>
        <x:v>9</x:v>
      </x:c>
      <x:c r="H79" s="23" t="n">
        <x:f>G79*Premissas!$B$5/Premissas!$B$4</x:f>
        <x:v>245.45454545454544</x:v>
      </x:c>
      <x:c r="I79" s="23" t="n">
        <x:f>D79*Premissas!$B$5/Premissas!$B$4</x:f>
        <x:v>231.8181818181818</x:v>
      </x:c>
      <x:c r="J79" s="23" t="n">
        <x:f>MAX(0,I79-H79)</x:f>
        <x:v>0</x:v>
      </x:c>
      <x:c r="K79" s="23" t="n">
        <x:f>SUMIFS('Cenários de GMD'!$C$4:$C$19,'Cenários de GMD'!$A$4:$A$19,B79,'Cenários de GMD'!$B$4:$B$19,C79)</x:f>
        <x:v>0.1</x:v>
      </x:c>
      <x:c r="L79" s="23" t="n">
        <x:f>IF(J79=0,0,J79/K79)</x:f>
        <x:v>0</x:v>
      </x:c>
      <x:c r="M79" s="23" t="n">
        <x:f>((H79+I79)/2)*SUMIFS('Cenários de GMD'!$D$4:$D$19,'Cenários de GMD'!$A$4:$A$19,B79,'Cenários de GMD'!$B$4:$B$19,C79)</x:f>
        <x:v>0.23863636363636362</x:v>
      </x:c>
      <x:c r="N79" s="23" t="n">
        <x:f>((H79+I79)/2)*SUMIFS('Cenários de GMD'!$E$4:$E$19,'Cenários de GMD'!$A$4:$A$19,B79,'Cenários de GMD'!$B$4:$B$19,C79)</x:f>
        <x:v>0</x:v>
      </x:c>
      <x:c r="O79" s="21" t="n">
        <x:f>M79*Insumos!$E$4+N79*Insumos!$E$5</x:f>
        <x:v>0.7244999999999999</x:v>
      </x:c>
      <x:c r="P79" s="21" t="n">
        <x:f>O79*Premissas!$B$7</x:f>
        <x:v>21.735</x:v>
      </x:c>
      <x:c r="Q79" s="21" t="n">
        <x:f>O79*L79</x:f>
        <x:v>0</x:v>
      </x:c>
      <x:c r="R79" s="21" t="n">
        <x:f>Premissas!$B$7*Premissas!$B$8*L79</x:f>
        <x:v>0</x:v>
      </x:c>
      <x:c r="S79" s="21" t="n">
        <x:f>D79*E79</x:f>
        <x:v>2805</x:v>
      </x:c>
      <x:c r="T79" s="21" t="n">
        <x:f>S79*F79</x:f>
        <x:v>47685</x:v>
      </x:c>
      <x:c r="U79" s="21" t="n">
        <x:f>S79-XLOOKUP(A79,Lotes!$A$4:$A$8,Lotes!$D$4:$D$8,Premissas!$B$9)-Q79-R79</x:f>
        <x:v>855</x:v>
      </x:c>
      <x:c r="V79" s="21" t="n">
        <x:f>U79*F79</x:f>
        <x:v>14535</x:v>
      </x:c>
      <x:c r="W79" s="20" t="n">
        <x:f>IF(S79=0,0,U79/S79)</x:f>
        <x:v>0.3048128342245989</x:v>
      </x:c>
      <x:c r="X79" s="21" t="n">
        <x:f>IF(D79-G79&lt;=0,0,Q79/(D79-G79))</x:f>
        <x:v>0</x:v>
      </x:c>
      <x:c r="Y79" s="20" t="n">
        <x:f>IFERROR(U79/(XLOOKUP(A79,Lotes!$A$4:$A$8,Lotes!$D$4:$D$8,Premissas!$B$9)+Q79+R79),0)</x:f>
        <x:v>0.43846153846153846</x:v>
      </x:c>
      <x:c r="Z79" s="20" t="n">
        <x:f>IF(L79=0,Y79,Y79/MAX(1,L79/Premissas!$B$7))</x:f>
        <x:v>0.43846153846153846</x:v>
      </x:c>
      <x:c r="AA79" s="19" t="str">
        <x:f>IF(L79=0,"Venda imediata",IF(L79&lt;=60,"Baixo",IF(L79&lt;=120,"Médio","Alto")))</x:f>
        <x:v>Venda imediata</x:v>
      </x:c>
      <x:c r="AB79" s="19" t="str">
        <x:f>IF(U79&lt;0,"Não fazer",IF(AA79="Alto","Risco seca",IF(Z79&gt;=0.03,"Bom giro","Margem ok")))</x:f>
        <x:v>Bom giro</x:v>
      </x:c>
    </x:row>
    <x:row r="80">
      <x:c r="A80" s="19" t="str">
        <x:v>Lote maior - otimista 9@</x:v>
      </x:c>
      <x:c r="B80" s="19" t="str">
        <x:v>Somente Fortis</x:v>
      </x:c>
      <x:c r="C80" s="19" t="str">
        <x:v>Pasto fraco</x:v>
      </x:c>
      <x:c r="D80" s="19" t="n">
        <x:v>9</x:v>
      </x:c>
      <x:c r="E80" s="21" t="n">
        <x:f>Premissas!$B$6</x:f>
        <x:v>330</x:v>
      </x:c>
      <x:c r="F80" s="19" t="n">
        <x:f>XLOOKUP(A80,Lotes!$A$4:$A$8,Lotes!$B$4:$B$8,0)</x:f>
        <x:v>17</x:v>
      </x:c>
      <x:c r="G80" s="23" t="n">
        <x:f>XLOOKUP(A80,Lotes!$A$4:$A$8,Lotes!$C$4:$C$8,0)</x:f>
        <x:v>9</x:v>
      </x:c>
      <x:c r="H80" s="23" t="n">
        <x:f>G80*Premissas!$B$5/Premissas!$B$4</x:f>
        <x:v>245.45454545454544</x:v>
      </x:c>
      <x:c r="I80" s="23" t="n">
        <x:f>D80*Premissas!$B$5/Premissas!$B$4</x:f>
        <x:v>245.45454545454544</x:v>
      </x:c>
      <x:c r="J80" s="23" t="n">
        <x:f>MAX(0,I80-H80)</x:f>
        <x:v>0</x:v>
      </x:c>
      <x:c r="K80" s="23" t="n">
        <x:f>SUMIFS('Cenários de GMD'!$C$4:$C$19,'Cenários de GMD'!$A$4:$A$19,B80,'Cenários de GMD'!$B$4:$B$19,C80)</x:f>
        <x:v>0.1</x:v>
      </x:c>
      <x:c r="L80" s="23" t="n">
        <x:f>IF(J80=0,0,J80/K80)</x:f>
        <x:v>0</x:v>
      </x:c>
      <x:c r="M80" s="23" t="n">
        <x:f>((H80+I80)/2)*SUMIFS('Cenários de GMD'!$D$4:$D$19,'Cenários de GMD'!$A$4:$A$19,B80,'Cenários de GMD'!$B$4:$B$19,C80)</x:f>
        <x:v>0.24545454545454545</x:v>
      </x:c>
      <x:c r="N80" s="23" t="n">
        <x:f>((H80+I80)/2)*SUMIFS('Cenários de GMD'!$E$4:$E$19,'Cenários de GMD'!$A$4:$A$19,B80,'Cenários de GMD'!$B$4:$B$19,C80)</x:f>
        <x:v>0</x:v>
      </x:c>
      <x:c r="O80" s="21" t="n">
        <x:f>M80*Insumos!$E$4+N80*Insumos!$E$5</x:f>
        <x:v>0.7452</x:v>
      </x:c>
      <x:c r="P80" s="21" t="n">
        <x:f>O80*Premissas!$B$7</x:f>
        <x:v>22.355999999999998</x:v>
      </x:c>
      <x:c r="Q80" s="21" t="n">
        <x:f>O80*L80</x:f>
        <x:v>0</x:v>
      </x:c>
      <x:c r="R80" s="21" t="n">
        <x:f>Premissas!$B$7*Premissas!$B$8*L80</x:f>
        <x:v>0</x:v>
      </x:c>
      <x:c r="S80" s="21" t="n">
        <x:f>D80*E80</x:f>
        <x:v>2970</x:v>
      </x:c>
      <x:c r="T80" s="21" t="n">
        <x:f>S80*F80</x:f>
        <x:v>50490</x:v>
      </x:c>
      <x:c r="U80" s="21" t="n">
        <x:f>S80-XLOOKUP(A80,Lotes!$A$4:$A$8,Lotes!$D$4:$D$8,Premissas!$B$9)-Q80-R80</x:f>
        <x:v>1020</x:v>
      </x:c>
      <x:c r="V80" s="21" t="n">
        <x:f>U80*F80</x:f>
        <x:v>17340</x:v>
      </x:c>
      <x:c r="W80" s="20" t="n">
        <x:f>IF(S80=0,0,U80/S80)</x:f>
        <x:v>0.3434343434343434</x:v>
      </x:c>
      <x:c r="X80" s="21" t="n">
        <x:f>IF(D80-G80&lt;=0,0,Q80/(D80-G80))</x:f>
        <x:v>0</x:v>
      </x:c>
      <x:c r="Y80" s="20" t="n">
        <x:f>IFERROR(U80/(XLOOKUP(A80,Lotes!$A$4:$A$8,Lotes!$D$4:$D$8,Premissas!$B$9)+Q80+R80),0)</x:f>
        <x:v>0.5230769230769231</x:v>
      </x:c>
      <x:c r="Z80" s="20" t="n">
        <x:f>IF(L80=0,Y80,Y80/MAX(1,L80/Premissas!$B$7))</x:f>
        <x:v>0.5230769230769231</x:v>
      </x:c>
      <x:c r="AA80" s="19" t="str">
        <x:f>IF(L80=0,"Venda imediata",IF(L80&lt;=60,"Baixo",IF(L80&lt;=120,"Médio","Alto")))</x:f>
        <x:v>Venda imediata</x:v>
      </x:c>
      <x:c r="AB80" s="19" t="str">
        <x:f>IF(U80&lt;0,"Não fazer",IF(AA80="Alto","Risco seca",IF(Z80&gt;=0.03,"Bom giro","Margem ok")))</x:f>
        <x:v>Bom giro</x:v>
      </x:c>
    </x:row>
    <x:row r="81">
      <x:c r="A81" s="19" t="str">
        <x:v>Lote maior - otimista 9@</x:v>
      </x:c>
      <x:c r="B81" s="19" t="str">
        <x:v>Somente Fortis</x:v>
      </x:c>
      <x:c r="C81" s="19" t="str">
        <x:v>Pasto fraco</x:v>
      </x:c>
      <x:c r="D81" s="19" t="n">
        <x:v>10.5</x:v>
      </x:c>
      <x:c r="E81" s="21" t="n">
        <x:f>Premissas!$B$6</x:f>
        <x:v>330</x:v>
      </x:c>
      <x:c r="F81" s="19" t="n">
        <x:f>XLOOKUP(A81,Lotes!$A$4:$A$8,Lotes!$B$4:$B$8,0)</x:f>
        <x:v>17</x:v>
      </x:c>
      <x:c r="G81" s="23" t="n">
        <x:f>XLOOKUP(A81,Lotes!$A$4:$A$8,Lotes!$C$4:$C$8,0)</x:f>
        <x:v>9</x:v>
      </x:c>
      <x:c r="H81" s="23" t="n">
        <x:f>G81*Premissas!$B$5/Premissas!$B$4</x:f>
        <x:v>245.45454545454544</x:v>
      </x:c>
      <x:c r="I81" s="23" t="n">
        <x:f>D81*Premissas!$B$5/Premissas!$B$4</x:f>
        <x:v>286.3636363636363</x:v>
      </x:c>
      <x:c r="J81" s="23" t="n">
        <x:f>MAX(0,I81-H81)</x:f>
        <x:v>40.90909090909088</x:v>
      </x:c>
      <x:c r="K81" s="23" t="n">
        <x:f>SUMIFS('Cenários de GMD'!$C$4:$C$19,'Cenários de GMD'!$A$4:$A$19,B81,'Cenários de GMD'!$B$4:$B$19,C81)</x:f>
        <x:v>0.1</x:v>
      </x:c>
      <x:c r="L81" s="23" t="n">
        <x:f>IF(J81=0,0,J81/K81)</x:f>
        <x:v>409.0909090909088</x:v>
      </x:c>
      <x:c r="M81" s="23" t="n">
        <x:f>((H81+I81)/2)*SUMIFS('Cenários de GMD'!$D$4:$D$19,'Cenários de GMD'!$A$4:$A$19,B81,'Cenários de GMD'!$B$4:$B$19,C81)</x:f>
        <x:v>0.2659090909090909</x:v>
      </x:c>
      <x:c r="N81" s="23" t="n">
        <x:f>((H81+I81)/2)*SUMIFS('Cenários de GMD'!$E$4:$E$19,'Cenários de GMD'!$A$4:$A$19,B81,'Cenários de GMD'!$B$4:$B$19,C81)</x:f>
        <x:v>0</x:v>
      </x:c>
      <x:c r="O81" s="21" t="n">
        <x:f>M81*Insumos!$E$4+N81*Insumos!$E$5</x:f>
        <x:v>0.8072999999999999</x:v>
      </x:c>
      <x:c r="P81" s="21" t="n">
        <x:f>O81*Premissas!$B$7</x:f>
        <x:v>24.218999999999998</x:v>
      </x:c>
      <x:c r="Q81" s="21" t="n">
        <x:f>O81*L81</x:f>
        <x:v>330.2590909090906</x:v>
      </x:c>
      <x:c r="R81" s="21" t="n">
        <x:f>Premissas!$B$7*Premissas!$B$8*L81</x:f>
        <x:v>0</x:v>
      </x:c>
      <x:c r="S81" s="21" t="n">
        <x:f>D81*E81</x:f>
        <x:v>3465</x:v>
      </x:c>
      <x:c r="T81" s="21" t="n">
        <x:f>S81*F81</x:f>
        <x:v>58905</x:v>
      </x:c>
      <x:c r="U81" s="21" t="n">
        <x:f>S81-XLOOKUP(A81,Lotes!$A$4:$A$8,Lotes!$D$4:$D$8,Premissas!$B$9)-Q81-R81</x:f>
        <x:v>1184.7409090909093</x:v>
      </x:c>
      <x:c r="V81" s="21" t="n">
        <x:f>U81*F81</x:f>
        <x:v>20140.59545454546</x:v>
      </x:c>
      <x:c r="W81" s="20" t="n">
        <x:f>IF(S81=0,0,U81/S81)</x:f>
        <x:v>0.3419165682802047</x:v>
      </x:c>
      <x:c r="X81" s="21" t="n">
        <x:f>IF(D81-G81&lt;=0,0,Q81/(D81-G81))</x:f>
        <x:v>220.1727272727271</x:v>
      </x:c>
      <x:c r="Y81" s="20" t="n">
        <x:f>IFERROR(U81/(XLOOKUP(A81,Lotes!$A$4:$A$8,Lotes!$D$4:$D$8,Premissas!$B$9)+Q81+R81),0)</x:f>
        <x:v>0.5195641643593134</x:v>
      </x:c>
      <x:c r="Z81" s="20" t="n">
        <x:f>IF(L81=0,Y81,Y81/MAX(1,L81/Premissas!$B$7))</x:f>
        <x:v>0.03810137205301634</x:v>
      </x:c>
      <x:c r="AA81" s="19" t="str">
        <x:f>IF(L81=0,"Venda imediata",IF(L81&lt;=60,"Baixo",IF(L81&lt;=120,"Médio","Alto")))</x:f>
        <x:v>Alto</x:v>
      </x:c>
      <x:c r="AB81" s="19" t="str">
        <x:f>IF(U81&lt;0,"Não fazer",IF(AA81="Alto","Risco seca",IF(Z81&gt;=0.03,"Bom giro","Margem ok")))</x:f>
        <x:v>Risco seca</x:v>
      </x:c>
    </x:row>
    <x:row r="82">
      <x:c r="A82" s="19" t="str">
        <x:v>Lote maior - otimista 9@</x:v>
      </x:c>
      <x:c r="B82" s="19" t="str">
        <x:v>Somente Fortis</x:v>
      </x:c>
      <x:c r="C82" s="19" t="str">
        <x:v>Pasto fraco</x:v>
      </x:c>
      <x:c r="D82" s="19" t="n">
        <x:v>11</x:v>
      </x:c>
      <x:c r="E82" s="21" t="n">
        <x:f>Premissas!$B$6</x:f>
        <x:v>330</x:v>
      </x:c>
      <x:c r="F82" s="19" t="n">
        <x:f>XLOOKUP(A82,Lotes!$A$4:$A$8,Lotes!$B$4:$B$8,0)</x:f>
        <x:v>17</x:v>
      </x:c>
      <x:c r="G82" s="23" t="n">
        <x:f>XLOOKUP(A82,Lotes!$A$4:$A$8,Lotes!$C$4:$C$8,0)</x:f>
        <x:v>9</x:v>
      </x:c>
      <x:c r="H82" s="23" t="n">
        <x:f>G82*Premissas!$B$5/Premissas!$B$4</x:f>
        <x:v>245.45454545454544</x:v>
      </x:c>
      <x:c r="I82" s="23" t="n">
        <x:f>D82*Premissas!$B$5/Premissas!$B$4</x:f>
        <x:v>300</x:v>
      </x:c>
      <x:c r="J82" s="23" t="n">
        <x:f>MAX(0,I82-H82)</x:f>
        <x:v>54.54545454545456</x:v>
      </x:c>
      <x:c r="K82" s="23" t="n">
        <x:f>SUMIFS('Cenários de GMD'!$C$4:$C$19,'Cenários de GMD'!$A$4:$A$19,B82,'Cenários de GMD'!$B$4:$B$19,C82)</x:f>
        <x:v>0.1</x:v>
      </x:c>
      <x:c r="L82" s="23" t="n">
        <x:f>IF(J82=0,0,J82/K82)</x:f>
        <x:v>545.4545454545456</x:v>
      </x:c>
      <x:c r="M82" s="23" t="n">
        <x:f>((H82+I82)/2)*SUMIFS('Cenários de GMD'!$D$4:$D$19,'Cenários de GMD'!$A$4:$A$19,B82,'Cenários de GMD'!$B$4:$B$19,C82)</x:f>
        <x:v>0.27272727272727276</x:v>
      </x:c>
      <x:c r="N82" s="23" t="n">
        <x:f>((H82+I82)/2)*SUMIFS('Cenários de GMD'!$E$4:$E$19,'Cenários de GMD'!$A$4:$A$19,B82,'Cenários de GMD'!$B$4:$B$19,C82)</x:f>
        <x:v>0</x:v>
      </x:c>
      <x:c r="O82" s="21" t="n">
        <x:f>M82*Insumos!$E$4+N82*Insumos!$E$5</x:f>
        <x:v>0.8280000000000001</x:v>
      </x:c>
      <x:c r="P82" s="21" t="n">
        <x:f>O82*Premissas!$B$7</x:f>
        <x:v>24.840000000000003</x:v>
      </x:c>
      <x:c r="Q82" s="21" t="n">
        <x:f>O82*L82</x:f>
        <x:v>451.6363636363638</x:v>
      </x:c>
      <x:c r="R82" s="21" t="n">
        <x:f>Premissas!$B$7*Premissas!$B$8*L82</x:f>
        <x:v>0</x:v>
      </x:c>
      <x:c r="S82" s="21" t="n">
        <x:f>D82*E82</x:f>
        <x:v>3630</x:v>
      </x:c>
      <x:c r="T82" s="21" t="n">
        <x:f>S82*F82</x:f>
        <x:v>61710</x:v>
      </x:c>
      <x:c r="U82" s="21" t="n">
        <x:f>S82-XLOOKUP(A82,Lotes!$A$4:$A$8,Lotes!$D$4:$D$8,Premissas!$B$9)-Q82-R82</x:f>
        <x:v>1228.3636363636363</x:v>
      </x:c>
      <x:c r="V82" s="21" t="n">
        <x:f>U82*F82</x:f>
        <x:v>20882.181818181816</x:v>
      </x:c>
      <x:c r="W82" s="20" t="n">
        <x:f>IF(S82=0,0,U82/S82)</x:f>
        <x:v>0.3383921863260706</x:v>
      </x:c>
      <x:c r="X82" s="21" t="n">
        <x:f>IF(D82-G82&lt;=0,0,Q82/(D82-G82))</x:f>
        <x:v>225.8181818181819</x:v>
      </x:c>
      <x:c r="Y82" s="20" t="n">
        <x:f>IFERROR(U82/(XLOOKUP(A82,Lotes!$A$4:$A$8,Lotes!$D$4:$D$8,Premissas!$B$9)+Q82+R82),0)</x:f>
        <x:v>0.5114694526459231</x:v>
      </x:c>
      <x:c r="Z82" s="20" t="n">
        <x:f>IF(L82=0,Y82,Y82/MAX(1,L82/Premissas!$B$7))</x:f>
        <x:v>0.028130819895525766</x:v>
      </x:c>
      <x:c r="AA82" s="19" t="str">
        <x:f>IF(L82=0,"Venda imediata",IF(L82&lt;=60,"Baixo",IF(L82&lt;=120,"Médio","Alto")))</x:f>
        <x:v>Alto</x:v>
      </x:c>
      <x:c r="AB82" s="19" t="str">
        <x:f>IF(U82&lt;0,"Não fazer",IF(AA82="Alto","Risco seca",IF(Z82&gt;=0.03,"Bom giro","Margem ok")))</x:f>
        <x:v>Risco seca</x:v>
      </x:c>
    </x:row>
    <x:row r="83">
      <x:c r="A83" s="19" t="str">
        <x:v>Lote maior - otimista 9@</x:v>
      </x:c>
      <x:c r="B83" s="19" t="str">
        <x:v>Somente Fortis</x:v>
      </x:c>
      <x:c r="C83" s="19" t="str">
        <x:v>Pasto fraco</x:v>
      </x:c>
      <x:c r="D83" s="19" t="n">
        <x:v>12</x:v>
      </x:c>
      <x:c r="E83" s="21" t="n">
        <x:f>Premissas!$B$6</x:f>
        <x:v>330</x:v>
      </x:c>
      <x:c r="F83" s="19" t="n">
        <x:f>XLOOKUP(A83,Lotes!$A$4:$A$8,Lotes!$B$4:$B$8,0)</x:f>
        <x:v>17</x:v>
      </x:c>
      <x:c r="G83" s="23" t="n">
        <x:f>XLOOKUP(A83,Lotes!$A$4:$A$8,Lotes!$C$4:$C$8,0)</x:f>
        <x:v>9</x:v>
      </x:c>
      <x:c r="H83" s="23" t="n">
        <x:f>G83*Premissas!$B$5/Premissas!$B$4</x:f>
        <x:v>245.45454545454544</x:v>
      </x:c>
      <x:c r="I83" s="23" t="n">
        <x:f>D83*Premissas!$B$5/Premissas!$B$4</x:f>
        <x:v>327.27272727272725</x:v>
      </x:c>
      <x:c r="J83" s="23" t="n">
        <x:f>MAX(0,I83-H83)</x:f>
        <x:v>81.81818181818181</x:v>
      </x:c>
      <x:c r="K83" s="23" t="n">
        <x:f>SUMIFS('Cenários de GMD'!$C$4:$C$19,'Cenários de GMD'!$A$4:$A$19,B83,'Cenários de GMD'!$B$4:$B$19,C83)</x:f>
        <x:v>0.1</x:v>
      </x:c>
      <x:c r="L83" s="23" t="n">
        <x:f>IF(J83=0,0,J83/K83)</x:f>
        <x:v>818.1818181818181</x:v>
      </x:c>
      <x:c r="M83" s="23" t="n">
        <x:f>((H83+I83)/2)*SUMIFS('Cenários de GMD'!$D$4:$D$19,'Cenários de GMD'!$A$4:$A$19,B83,'Cenários de GMD'!$B$4:$B$19,C83)</x:f>
        <x:v>0.2863636363636364</x:v>
      </x:c>
      <x:c r="N83" s="23" t="n">
        <x:f>((H83+I83)/2)*SUMIFS('Cenários de GMD'!$E$4:$E$19,'Cenários de GMD'!$A$4:$A$19,B83,'Cenários de GMD'!$B$4:$B$19,C83)</x:f>
        <x:v>0</x:v>
      </x:c>
      <x:c r="O83" s="21" t="n">
        <x:f>M83*Insumos!$E$4+N83*Insumos!$E$5</x:f>
        <x:v>0.8694000000000001</x:v>
      </x:c>
      <x:c r="P83" s="21" t="n">
        <x:f>O83*Premissas!$B$7</x:f>
        <x:v>26.082</x:v>
      </x:c>
      <x:c r="Q83" s="21" t="n">
        <x:f>O83*L83</x:f>
        <x:v>711.3272727272728</x:v>
      </x:c>
      <x:c r="R83" s="21" t="n">
        <x:f>Premissas!$B$7*Premissas!$B$8*L83</x:f>
        <x:v>0</x:v>
      </x:c>
      <x:c r="S83" s="21" t="n">
        <x:f>D83*E83</x:f>
        <x:v>3960</x:v>
      </x:c>
      <x:c r="T83" s="21" t="n">
        <x:f>S83*F83</x:f>
        <x:v>67320</x:v>
      </x:c>
      <x:c r="U83" s="21" t="n">
        <x:f>S83-XLOOKUP(A83,Lotes!$A$4:$A$8,Lotes!$D$4:$D$8,Premissas!$B$9)-Q83-R83</x:f>
        <x:v>1298.6727272727271</x:v>
      </x:c>
      <x:c r="V83" s="21" t="n">
        <x:f>U83*F83</x:f>
        <x:v>22077.43636363636</x:v>
      </x:c>
      <x:c r="W83" s="20" t="n">
        <x:f>IF(S83=0,0,U83/S83)</x:f>
        <x:v>0.3279476584022038</x:v>
      </x:c>
      <x:c r="X83" s="21" t="n">
        <x:f>IF(D83-G83&lt;=0,0,Q83/(D83-G83))</x:f>
        <x:v>237.10909090909092</x:v>
      </x:c>
      <x:c r="Y83" s="20" t="n">
        <x:f>IFERROR(U83/(XLOOKUP(A83,Lotes!$A$4:$A$8,Lotes!$D$4:$D$8,Premissas!$B$9)+Q83+R83),0)</x:f>
        <x:v>0.4879793404521325</x:v>
      </x:c>
      <x:c r="Z83" s="20" t="n">
        <x:f>IF(L83=0,Y83,Y83/MAX(1,L83/Premissas!$B$7))</x:f>
        <x:v>0.01789257581657819</x:v>
      </x:c>
      <x:c r="AA83" s="19" t="str">
        <x:f>IF(L83=0,"Venda imediata",IF(L83&lt;=60,"Baixo",IF(L83&lt;=120,"Médio","Alto")))</x:f>
        <x:v>Alto</x:v>
      </x:c>
      <x:c r="AB83" s="19" t="str">
        <x:f>IF(U83&lt;0,"Não fazer",IF(AA83="Alto","Risco seca",IF(Z83&gt;=0.03,"Bom giro","Margem ok")))</x:f>
        <x:v>Risco seca</x:v>
      </x:c>
    </x:row>
    <x:row r="84">
      <x:c r="A84" s="19" t="str">
        <x:v>Lote maior - otimista 9@</x:v>
      </x:c>
      <x:c r="B84" s="19" t="str">
        <x:v>Somente Fortis</x:v>
      </x:c>
      <x:c r="C84" s="19" t="str">
        <x:v>Pasto médio</x:v>
      </x:c>
      <x:c r="D84" s="19" t="n">
        <x:v>8.5</x:v>
      </x:c>
      <x:c r="E84" s="21" t="n">
        <x:f>Premissas!$B$6</x:f>
        <x:v>330</x:v>
      </x:c>
      <x:c r="F84" s="19" t="n">
        <x:f>XLOOKUP(A84,Lotes!$A$4:$A$8,Lotes!$B$4:$B$8,0)</x:f>
        <x:v>17</x:v>
      </x:c>
      <x:c r="G84" s="23" t="n">
        <x:f>XLOOKUP(A84,Lotes!$A$4:$A$8,Lotes!$C$4:$C$8,0)</x:f>
        <x:v>9</x:v>
      </x:c>
      <x:c r="H84" s="23" t="n">
        <x:f>G84*Premissas!$B$5/Premissas!$B$4</x:f>
        <x:v>245.45454545454544</x:v>
      </x:c>
      <x:c r="I84" s="23" t="n">
        <x:f>D84*Premissas!$B$5/Premissas!$B$4</x:f>
        <x:v>231.8181818181818</x:v>
      </x:c>
      <x:c r="J84" s="23" t="n">
        <x:f>MAX(0,I84-H84)</x:f>
        <x:v>0</x:v>
      </x:c>
      <x:c r="K84" s="23" t="n">
        <x:f>SUMIFS('Cenários de GMD'!$C$4:$C$19,'Cenários de GMD'!$A$4:$A$19,B84,'Cenários de GMD'!$B$4:$B$19,C84)</x:f>
        <x:v>0.3</x:v>
      </x:c>
      <x:c r="L84" s="23" t="n">
        <x:f>IF(J84=0,0,J84/K84)</x:f>
        <x:v>0</x:v>
      </x:c>
      <x:c r="M84" s="23" t="n">
        <x:f>((H84+I84)/2)*SUMIFS('Cenários de GMD'!$D$4:$D$19,'Cenários de GMD'!$A$4:$A$19,B84,'Cenários de GMD'!$B$4:$B$19,C84)</x:f>
        <x:v>0.23863636363636362</x:v>
      </x:c>
      <x:c r="N84" s="23" t="n">
        <x:f>((H84+I84)/2)*SUMIFS('Cenários de GMD'!$E$4:$E$19,'Cenários de GMD'!$A$4:$A$19,B84,'Cenários de GMD'!$B$4:$B$19,C84)</x:f>
        <x:v>0</x:v>
      </x:c>
      <x:c r="O84" s="21" t="n">
        <x:f>M84*Insumos!$E$4+N84*Insumos!$E$5</x:f>
        <x:v>0.7244999999999999</x:v>
      </x:c>
      <x:c r="P84" s="21" t="n">
        <x:f>O84*Premissas!$B$7</x:f>
        <x:v>21.735</x:v>
      </x:c>
      <x:c r="Q84" s="21" t="n">
        <x:f>O84*L84</x:f>
        <x:v>0</x:v>
      </x:c>
      <x:c r="R84" s="21" t="n">
        <x:f>Premissas!$B$7*Premissas!$B$8*L84</x:f>
        <x:v>0</x:v>
      </x:c>
      <x:c r="S84" s="21" t="n">
        <x:f>D84*E84</x:f>
        <x:v>2805</x:v>
      </x:c>
      <x:c r="T84" s="21" t="n">
        <x:f>S84*F84</x:f>
        <x:v>47685</x:v>
      </x:c>
      <x:c r="U84" s="21" t="n">
        <x:f>S84-XLOOKUP(A84,Lotes!$A$4:$A$8,Lotes!$D$4:$D$8,Premissas!$B$9)-Q84-R84</x:f>
        <x:v>855</x:v>
      </x:c>
      <x:c r="V84" s="21" t="n">
        <x:f>U84*F84</x:f>
        <x:v>14535</x:v>
      </x:c>
      <x:c r="W84" s="20" t="n">
        <x:f>IF(S84=0,0,U84/S84)</x:f>
        <x:v>0.3048128342245989</x:v>
      </x:c>
      <x:c r="X84" s="21" t="n">
        <x:f>IF(D84-G84&lt;=0,0,Q84/(D84-G84))</x:f>
        <x:v>0</x:v>
      </x:c>
      <x:c r="Y84" s="20" t="n">
        <x:f>IFERROR(U84/(XLOOKUP(A84,Lotes!$A$4:$A$8,Lotes!$D$4:$D$8,Premissas!$B$9)+Q84+R84),0)</x:f>
        <x:v>0.43846153846153846</x:v>
      </x:c>
      <x:c r="Z84" s="20" t="n">
        <x:f>IF(L84=0,Y84,Y84/MAX(1,L84/Premissas!$B$7))</x:f>
        <x:v>0.43846153846153846</x:v>
      </x:c>
      <x:c r="AA84" s="19" t="str">
        <x:f>IF(L84=0,"Venda imediata",IF(L84&lt;=60,"Baixo",IF(L84&lt;=120,"Médio","Alto")))</x:f>
        <x:v>Venda imediata</x:v>
      </x:c>
      <x:c r="AB84" s="19" t="str">
        <x:f>IF(U84&lt;0,"Não fazer",IF(AA84="Alto","Risco seca",IF(Z84&gt;=0.03,"Bom giro","Margem ok")))</x:f>
        <x:v>Bom giro</x:v>
      </x:c>
    </x:row>
    <x:row r="85">
      <x:c r="A85" s="19" t="str">
        <x:v>Lote maior - otimista 9@</x:v>
      </x:c>
      <x:c r="B85" s="19" t="str">
        <x:v>Somente Fortis</x:v>
      </x:c>
      <x:c r="C85" s="19" t="str">
        <x:v>Pasto médio</x:v>
      </x:c>
      <x:c r="D85" s="19" t="n">
        <x:v>9</x:v>
      </x:c>
      <x:c r="E85" s="21" t="n">
        <x:f>Premissas!$B$6</x:f>
        <x:v>330</x:v>
      </x:c>
      <x:c r="F85" s="19" t="n">
        <x:f>XLOOKUP(A85,Lotes!$A$4:$A$8,Lotes!$B$4:$B$8,0)</x:f>
        <x:v>17</x:v>
      </x:c>
      <x:c r="G85" s="23" t="n">
        <x:f>XLOOKUP(A85,Lotes!$A$4:$A$8,Lotes!$C$4:$C$8,0)</x:f>
        <x:v>9</x:v>
      </x:c>
      <x:c r="H85" s="23" t="n">
        <x:f>G85*Premissas!$B$5/Premissas!$B$4</x:f>
        <x:v>245.45454545454544</x:v>
      </x:c>
      <x:c r="I85" s="23" t="n">
        <x:f>D85*Premissas!$B$5/Premissas!$B$4</x:f>
        <x:v>245.45454545454544</x:v>
      </x:c>
      <x:c r="J85" s="23" t="n">
        <x:f>MAX(0,I85-H85)</x:f>
        <x:v>0</x:v>
      </x:c>
      <x:c r="K85" s="23" t="n">
        <x:f>SUMIFS('Cenários de GMD'!$C$4:$C$19,'Cenários de GMD'!$A$4:$A$19,B85,'Cenários de GMD'!$B$4:$B$19,C85)</x:f>
        <x:v>0.3</x:v>
      </x:c>
      <x:c r="L85" s="23" t="n">
        <x:f>IF(J85=0,0,J85/K85)</x:f>
        <x:v>0</x:v>
      </x:c>
      <x:c r="M85" s="23" t="n">
        <x:f>((H85+I85)/2)*SUMIFS('Cenários de GMD'!$D$4:$D$19,'Cenários de GMD'!$A$4:$A$19,B85,'Cenários de GMD'!$B$4:$B$19,C85)</x:f>
        <x:v>0.24545454545454545</x:v>
      </x:c>
      <x:c r="N85" s="23" t="n">
        <x:f>((H85+I85)/2)*SUMIFS('Cenários de GMD'!$E$4:$E$19,'Cenários de GMD'!$A$4:$A$19,B85,'Cenários de GMD'!$B$4:$B$19,C85)</x:f>
        <x:v>0</x:v>
      </x:c>
      <x:c r="O85" s="21" t="n">
        <x:f>M85*Insumos!$E$4+N85*Insumos!$E$5</x:f>
        <x:v>0.7452</x:v>
      </x:c>
      <x:c r="P85" s="21" t="n">
        <x:f>O85*Premissas!$B$7</x:f>
        <x:v>22.355999999999998</x:v>
      </x:c>
      <x:c r="Q85" s="21" t="n">
        <x:f>O85*L85</x:f>
        <x:v>0</x:v>
      </x:c>
      <x:c r="R85" s="21" t="n">
        <x:f>Premissas!$B$7*Premissas!$B$8*L85</x:f>
        <x:v>0</x:v>
      </x:c>
      <x:c r="S85" s="21" t="n">
        <x:f>D85*E85</x:f>
        <x:v>2970</x:v>
      </x:c>
      <x:c r="T85" s="21" t="n">
        <x:f>S85*F85</x:f>
        <x:v>50490</x:v>
      </x:c>
      <x:c r="U85" s="21" t="n">
        <x:f>S85-XLOOKUP(A85,Lotes!$A$4:$A$8,Lotes!$D$4:$D$8,Premissas!$B$9)-Q85-R85</x:f>
        <x:v>1020</x:v>
      </x:c>
      <x:c r="V85" s="21" t="n">
        <x:f>U85*F85</x:f>
        <x:v>17340</x:v>
      </x:c>
      <x:c r="W85" s="20" t="n">
        <x:f>IF(S85=0,0,U85/S85)</x:f>
        <x:v>0.3434343434343434</x:v>
      </x:c>
      <x:c r="X85" s="21" t="n">
        <x:f>IF(D85-G85&lt;=0,0,Q85/(D85-G85))</x:f>
        <x:v>0</x:v>
      </x:c>
      <x:c r="Y85" s="20" t="n">
        <x:f>IFERROR(U85/(XLOOKUP(A85,Lotes!$A$4:$A$8,Lotes!$D$4:$D$8,Premissas!$B$9)+Q85+R85),0)</x:f>
        <x:v>0.5230769230769231</x:v>
      </x:c>
      <x:c r="Z85" s="20" t="n">
        <x:f>IF(L85=0,Y85,Y85/MAX(1,L85/Premissas!$B$7))</x:f>
        <x:v>0.5230769230769231</x:v>
      </x:c>
      <x:c r="AA85" s="19" t="str">
        <x:f>IF(L85=0,"Venda imediata",IF(L85&lt;=60,"Baixo",IF(L85&lt;=120,"Médio","Alto")))</x:f>
        <x:v>Venda imediata</x:v>
      </x:c>
      <x:c r="AB85" s="19" t="str">
        <x:f>IF(U85&lt;0,"Não fazer",IF(AA85="Alto","Risco seca",IF(Z85&gt;=0.03,"Bom giro","Margem ok")))</x:f>
        <x:v>Bom giro</x:v>
      </x:c>
    </x:row>
    <x:row r="86">
      <x:c r="A86" s="19" t="str">
        <x:v>Lote maior - otimista 9@</x:v>
      </x:c>
      <x:c r="B86" s="19" t="str">
        <x:v>Somente Fortis</x:v>
      </x:c>
      <x:c r="C86" s="19" t="str">
        <x:v>Pasto médio</x:v>
      </x:c>
      <x:c r="D86" s="19" t="n">
        <x:v>10.5</x:v>
      </x:c>
      <x:c r="E86" s="21" t="n">
        <x:f>Premissas!$B$6</x:f>
        <x:v>330</x:v>
      </x:c>
      <x:c r="F86" s="19" t="n">
        <x:f>XLOOKUP(A86,Lotes!$A$4:$A$8,Lotes!$B$4:$B$8,0)</x:f>
        <x:v>17</x:v>
      </x:c>
      <x:c r="G86" s="23" t="n">
        <x:f>XLOOKUP(A86,Lotes!$A$4:$A$8,Lotes!$C$4:$C$8,0)</x:f>
        <x:v>9</x:v>
      </x:c>
      <x:c r="H86" s="23" t="n">
        <x:f>G86*Premissas!$B$5/Premissas!$B$4</x:f>
        <x:v>245.45454545454544</x:v>
      </x:c>
      <x:c r="I86" s="23" t="n">
        <x:f>D86*Premissas!$B$5/Premissas!$B$4</x:f>
        <x:v>286.3636363636363</x:v>
      </x:c>
      <x:c r="J86" s="23" t="n">
        <x:f>MAX(0,I86-H86)</x:f>
        <x:v>40.90909090909088</x:v>
      </x:c>
      <x:c r="K86" s="23" t="n">
        <x:f>SUMIFS('Cenários de GMD'!$C$4:$C$19,'Cenários de GMD'!$A$4:$A$19,B86,'Cenários de GMD'!$B$4:$B$19,C86)</x:f>
        <x:v>0.3</x:v>
      </x:c>
      <x:c r="L86" s="23" t="n">
        <x:f>IF(J86=0,0,J86/K86)</x:f>
        <x:v>136.36363636363626</x:v>
      </x:c>
      <x:c r="M86" s="23" t="n">
        <x:f>((H86+I86)/2)*SUMIFS('Cenários de GMD'!$D$4:$D$19,'Cenários de GMD'!$A$4:$A$19,B86,'Cenários de GMD'!$B$4:$B$19,C86)</x:f>
        <x:v>0.2659090909090909</x:v>
      </x:c>
      <x:c r="N86" s="23" t="n">
        <x:f>((H86+I86)/2)*SUMIFS('Cenários de GMD'!$E$4:$E$19,'Cenários de GMD'!$A$4:$A$19,B86,'Cenários de GMD'!$B$4:$B$19,C86)</x:f>
        <x:v>0</x:v>
      </x:c>
      <x:c r="O86" s="21" t="n">
        <x:f>M86*Insumos!$E$4+N86*Insumos!$E$5</x:f>
        <x:v>0.8072999999999999</x:v>
      </x:c>
      <x:c r="P86" s="21" t="n">
        <x:f>O86*Premissas!$B$7</x:f>
        <x:v>24.218999999999998</x:v>
      </x:c>
      <x:c r="Q86" s="21" t="n">
        <x:f>O86*L86</x:f>
        <x:v>110.08636363636354</x:v>
      </x:c>
      <x:c r="R86" s="21" t="n">
        <x:f>Premissas!$B$7*Premissas!$B$8*L86</x:f>
        <x:v>0</x:v>
      </x:c>
      <x:c r="S86" s="21" t="n">
        <x:f>D86*E86</x:f>
        <x:v>3465</x:v>
      </x:c>
      <x:c r="T86" s="21" t="n">
        <x:f>S86*F86</x:f>
        <x:v>58905</x:v>
      </x:c>
      <x:c r="U86" s="21" t="n">
        <x:f>S86-XLOOKUP(A86,Lotes!$A$4:$A$8,Lotes!$D$4:$D$8,Premissas!$B$9)-Q86-R86</x:f>
        <x:v>1404.9136363636364</x:v>
      </x:c>
      <x:c r="V86" s="21" t="n">
        <x:f>U86*F86</x:f>
        <x:v>23883.53181818182</x:v>
      </x:c>
      <x:c r="W86" s="20" t="n">
        <x:f>IF(S86=0,0,U86/S86)</x:f>
        <x:v>0.4054584809130264</x:v>
      </x:c>
      <x:c r="X86" s="21" t="n">
        <x:f>IF(D86-G86&lt;=0,0,Q86/(D86-G86))</x:f>
        <x:v>73.39090909090903</x:v>
      </x:c>
      <x:c r="Y86" s="20" t="n">
        <x:f>IFERROR(U86/(XLOOKUP(A86,Lotes!$A$4:$A$8,Lotes!$D$4:$D$8,Premissas!$B$9)+Q86+R86),0)</x:f>
        <x:v>0.6819683199512819</x:v>
      </x:c>
      <x:c r="Z86" s="20" t="n">
        <x:f>IF(L86=0,Y86,Y86/MAX(1,L86/Premissas!$B$7))</x:f>
        <x:v>0.15003303038928212</x:v>
      </x:c>
      <x:c r="AA86" s="19" t="str">
        <x:f>IF(L86=0,"Venda imediata",IF(L86&lt;=60,"Baixo",IF(L86&lt;=120,"Médio","Alto")))</x:f>
        <x:v>Alto</x:v>
      </x:c>
      <x:c r="AB86" s="19" t="str">
        <x:f>IF(U86&lt;0,"Não fazer",IF(AA86="Alto","Risco seca",IF(Z86&gt;=0.03,"Bom giro","Margem ok")))</x:f>
        <x:v>Risco seca</x:v>
      </x:c>
    </x:row>
    <x:row r="87">
      <x:c r="A87" s="19" t="str">
        <x:v>Lote maior - otimista 9@</x:v>
      </x:c>
      <x:c r="B87" s="19" t="str">
        <x:v>Somente Fortis</x:v>
      </x:c>
      <x:c r="C87" s="19" t="str">
        <x:v>Pasto médio</x:v>
      </x:c>
      <x:c r="D87" s="19" t="n">
        <x:v>11</x:v>
      </x:c>
      <x:c r="E87" s="21" t="n">
        <x:f>Premissas!$B$6</x:f>
        <x:v>330</x:v>
      </x:c>
      <x:c r="F87" s="19" t="n">
        <x:f>XLOOKUP(A87,Lotes!$A$4:$A$8,Lotes!$B$4:$B$8,0)</x:f>
        <x:v>17</x:v>
      </x:c>
      <x:c r="G87" s="23" t="n">
        <x:f>XLOOKUP(A87,Lotes!$A$4:$A$8,Lotes!$C$4:$C$8,0)</x:f>
        <x:v>9</x:v>
      </x:c>
      <x:c r="H87" s="23" t="n">
        <x:f>G87*Premissas!$B$5/Premissas!$B$4</x:f>
        <x:v>245.45454545454544</x:v>
      </x:c>
      <x:c r="I87" s="23" t="n">
        <x:f>D87*Premissas!$B$5/Premissas!$B$4</x:f>
        <x:v>300</x:v>
      </x:c>
      <x:c r="J87" s="23" t="n">
        <x:f>MAX(0,I87-H87)</x:f>
        <x:v>54.54545454545456</x:v>
      </x:c>
      <x:c r="K87" s="23" t="n">
        <x:f>SUMIFS('Cenários de GMD'!$C$4:$C$19,'Cenários de GMD'!$A$4:$A$19,B87,'Cenários de GMD'!$B$4:$B$19,C87)</x:f>
        <x:v>0.3</x:v>
      </x:c>
      <x:c r="L87" s="23" t="n">
        <x:f>IF(J87=0,0,J87/K87)</x:f>
        <x:v>181.81818181818187</x:v>
      </x:c>
      <x:c r="M87" s="23" t="n">
        <x:f>((H87+I87)/2)*SUMIFS('Cenários de GMD'!$D$4:$D$19,'Cenários de GMD'!$A$4:$A$19,B87,'Cenários de GMD'!$B$4:$B$19,C87)</x:f>
        <x:v>0.27272727272727276</x:v>
      </x:c>
      <x:c r="N87" s="23" t="n">
        <x:f>((H87+I87)/2)*SUMIFS('Cenários de GMD'!$E$4:$E$19,'Cenários de GMD'!$A$4:$A$19,B87,'Cenários de GMD'!$B$4:$B$19,C87)</x:f>
        <x:v>0</x:v>
      </x:c>
      <x:c r="O87" s="21" t="n">
        <x:f>M87*Insumos!$E$4+N87*Insumos!$E$5</x:f>
        <x:v>0.8280000000000001</x:v>
      </x:c>
      <x:c r="P87" s="21" t="n">
        <x:f>O87*Premissas!$B$7</x:f>
        <x:v>24.840000000000003</x:v>
      </x:c>
      <x:c r="Q87" s="21" t="n">
        <x:f>O87*L87</x:f>
        <x:v>150.5454545454546</x:v>
      </x:c>
      <x:c r="R87" s="21" t="n">
        <x:f>Premissas!$B$7*Premissas!$B$8*L87</x:f>
        <x:v>0</x:v>
      </x:c>
      <x:c r="S87" s="21" t="n">
        <x:f>D87*E87</x:f>
        <x:v>3630</x:v>
      </x:c>
      <x:c r="T87" s="21" t="n">
        <x:f>S87*F87</x:f>
        <x:v>61710</x:v>
      </x:c>
      <x:c r="U87" s="21" t="n">
        <x:f>S87-XLOOKUP(A87,Lotes!$A$4:$A$8,Lotes!$D$4:$D$8,Premissas!$B$9)-Q87-R87</x:f>
        <x:v>1529.4545454545455</x:v>
      </x:c>
      <x:c r="V87" s="21" t="n">
        <x:f>U87*F87</x:f>
        <x:v>26000.727272727272</x:v>
      </x:c>
      <x:c r="W87" s="20" t="n">
        <x:f>IF(S87=0,0,U87/S87)</x:f>
        <x:v>0.4213373403456048</x:v>
      </x:c>
      <x:c r="X87" s="21" t="n">
        <x:f>IF(D87-G87&lt;=0,0,Q87/(D87-G87))</x:f>
        <x:v>75.2727272727273</x:v>
      </x:c>
      <x:c r="Y87" s="20" t="n">
        <x:f>IFERROR(U87/(XLOOKUP(A87,Lotes!$A$4:$A$8,Lotes!$D$4:$D$8,Premissas!$B$9)+Q87+R87),0)</x:f>
        <x:v>0.7281225655673851</x:v>
      </x:c>
      <x:c r="Z87" s="20" t="n">
        <x:f>IF(L87=0,Y87,Y87/MAX(1,L87/Premissas!$B$7))</x:f>
        <x:v>0.12014022331861851</x:v>
      </x:c>
      <x:c r="AA87" s="19" t="str">
        <x:f>IF(L87=0,"Venda imediata",IF(L87&lt;=60,"Baixo",IF(L87&lt;=120,"Médio","Alto")))</x:f>
        <x:v>Alto</x:v>
      </x:c>
      <x:c r="AB87" s="19" t="str">
        <x:f>IF(U87&lt;0,"Não fazer",IF(AA87="Alto","Risco seca",IF(Z87&gt;=0.03,"Bom giro","Margem ok")))</x:f>
        <x:v>Risco seca</x:v>
      </x:c>
    </x:row>
    <x:row r="88">
      <x:c r="A88" s="19" t="str">
        <x:v>Lote maior - otimista 9@</x:v>
      </x:c>
      <x:c r="B88" s="19" t="str">
        <x:v>Somente Fortis</x:v>
      </x:c>
      <x:c r="C88" s="19" t="str">
        <x:v>Pasto médio</x:v>
      </x:c>
      <x:c r="D88" s="19" t="n">
        <x:v>12</x:v>
      </x:c>
      <x:c r="E88" s="21" t="n">
        <x:f>Premissas!$B$6</x:f>
        <x:v>330</x:v>
      </x:c>
      <x:c r="F88" s="19" t="n">
        <x:f>XLOOKUP(A88,Lotes!$A$4:$A$8,Lotes!$B$4:$B$8,0)</x:f>
        <x:v>17</x:v>
      </x:c>
      <x:c r="G88" s="23" t="n">
        <x:f>XLOOKUP(A88,Lotes!$A$4:$A$8,Lotes!$C$4:$C$8,0)</x:f>
        <x:v>9</x:v>
      </x:c>
      <x:c r="H88" s="23" t="n">
        <x:f>G88*Premissas!$B$5/Premissas!$B$4</x:f>
        <x:v>245.45454545454544</x:v>
      </x:c>
      <x:c r="I88" s="23" t="n">
        <x:f>D88*Premissas!$B$5/Premissas!$B$4</x:f>
        <x:v>327.27272727272725</x:v>
      </x:c>
      <x:c r="J88" s="23" t="n">
        <x:f>MAX(0,I88-H88)</x:f>
        <x:v>81.81818181818181</x:v>
      </x:c>
      <x:c r="K88" s="23" t="n">
        <x:f>SUMIFS('Cenários de GMD'!$C$4:$C$19,'Cenários de GMD'!$A$4:$A$19,B88,'Cenários de GMD'!$B$4:$B$19,C88)</x:f>
        <x:v>0.3</x:v>
      </x:c>
      <x:c r="L88" s="23" t="n">
        <x:f>IF(J88=0,0,J88/K88)</x:f>
        <x:v>272.72727272727275</x:v>
      </x:c>
      <x:c r="M88" s="23" t="n">
        <x:f>((H88+I88)/2)*SUMIFS('Cenários de GMD'!$D$4:$D$19,'Cenários de GMD'!$A$4:$A$19,B88,'Cenários de GMD'!$B$4:$B$19,C88)</x:f>
        <x:v>0.2863636363636364</x:v>
      </x:c>
      <x:c r="N88" s="23" t="n">
        <x:f>((H88+I88)/2)*SUMIFS('Cenários de GMD'!$E$4:$E$19,'Cenários de GMD'!$A$4:$A$19,B88,'Cenários de GMD'!$B$4:$B$19,C88)</x:f>
        <x:v>0</x:v>
      </x:c>
      <x:c r="O88" s="21" t="n">
        <x:f>M88*Insumos!$E$4+N88*Insumos!$E$5</x:f>
        <x:v>0.8694000000000001</x:v>
      </x:c>
      <x:c r="P88" s="21" t="n">
        <x:f>O88*Premissas!$B$7</x:f>
        <x:v>26.082</x:v>
      </x:c>
      <x:c r="Q88" s="21" t="n">
        <x:f>O88*L88</x:f>
        <x:v>237.10909090909095</x:v>
      </x:c>
      <x:c r="R88" s="21" t="n">
        <x:f>Premissas!$B$7*Premissas!$B$8*L88</x:f>
        <x:v>0</x:v>
      </x:c>
      <x:c r="S88" s="21" t="n">
        <x:f>D88*E88</x:f>
        <x:v>3960</x:v>
      </x:c>
      <x:c r="T88" s="21" t="n">
        <x:f>S88*F88</x:f>
        <x:v>67320</x:v>
      </x:c>
      <x:c r="U88" s="21" t="n">
        <x:f>S88-XLOOKUP(A88,Lotes!$A$4:$A$8,Lotes!$D$4:$D$8,Premissas!$B$9)-Q88-R88</x:f>
        <x:v>1772.890909090909</x:v>
      </x:c>
      <x:c r="V88" s="21" t="n">
        <x:f>U88*F88</x:f>
        <x:v>30139.14545454545</x:v>
      </x:c>
      <x:c r="W88" s="20" t="n">
        <x:f>IF(S88=0,0,U88/S88)</x:f>
        <x:v>0.4476997245179063</x:v>
      </x:c>
      <x:c r="X88" s="21" t="n">
        <x:f>IF(D88-G88&lt;=0,0,Q88/(D88-G88))</x:f>
        <x:v>79.03636363636365</x:v>
      </x:c>
      <x:c r="Y88" s="20" t="n">
        <x:f>IFERROR(U88/(XLOOKUP(A88,Lotes!$A$4:$A$8,Lotes!$D$4:$D$8,Premissas!$B$9)+Q88+R88),0)</x:f>
        <x:v>0.8106092725141532</x:v>
      </x:c>
      <x:c r="Z88" s="20" t="n">
        <x:f>IF(L88=0,Y88,Y88/MAX(1,L88/Premissas!$B$7))</x:f>
        <x:v>0.08916701997655684</x:v>
      </x:c>
      <x:c r="AA88" s="19" t="str">
        <x:f>IF(L88=0,"Venda imediata",IF(L88&lt;=60,"Baixo",IF(L88&lt;=120,"Médio","Alto")))</x:f>
        <x:v>Alto</x:v>
      </x:c>
      <x:c r="AB88" s="19" t="str">
        <x:f>IF(U88&lt;0,"Não fazer",IF(AA88="Alto","Risco seca",IF(Z88&gt;=0.03,"Bom giro","Margem ok")))</x:f>
        <x:v>Risco seca</x:v>
      </x:c>
    </x:row>
    <x:row r="89">
      <x:c r="A89" s="19" t="str">
        <x:v>Lote maior - otimista 9@</x:v>
      </x:c>
      <x:c r="B89" s="19" t="str">
        <x:v>Somente Fortis</x:v>
      </x:c>
      <x:c r="C89" s="19" t="str">
        <x:v>Pasto bom</x:v>
      </x:c>
      <x:c r="D89" s="19" t="n">
        <x:v>8.5</x:v>
      </x:c>
      <x:c r="E89" s="21" t="n">
        <x:f>Premissas!$B$6</x:f>
        <x:v>330</x:v>
      </x:c>
      <x:c r="F89" s="19" t="n">
        <x:f>XLOOKUP(A89,Lotes!$A$4:$A$8,Lotes!$B$4:$B$8,0)</x:f>
        <x:v>17</x:v>
      </x:c>
      <x:c r="G89" s="23" t="n">
        <x:f>XLOOKUP(A89,Lotes!$A$4:$A$8,Lotes!$C$4:$C$8,0)</x:f>
        <x:v>9</x:v>
      </x:c>
      <x:c r="H89" s="23" t="n">
        <x:f>G89*Premissas!$B$5/Premissas!$B$4</x:f>
        <x:v>245.45454545454544</x:v>
      </x:c>
      <x:c r="I89" s="23" t="n">
        <x:f>D89*Premissas!$B$5/Premissas!$B$4</x:f>
        <x:v>231.8181818181818</x:v>
      </x:c>
      <x:c r="J89" s="23" t="n">
        <x:f>MAX(0,I89-H89)</x:f>
        <x:v>0</x:v>
      </x:c>
      <x:c r="K89" s="23" t="n">
        <x:f>SUMIFS('Cenários de GMD'!$C$4:$C$19,'Cenários de GMD'!$A$4:$A$19,B89,'Cenários de GMD'!$B$4:$B$19,C89)</x:f>
        <x:v>0.5</x:v>
      </x:c>
      <x:c r="L89" s="23" t="n">
        <x:f>IF(J89=0,0,J89/K89)</x:f>
        <x:v>0</x:v>
      </x:c>
      <x:c r="M89" s="23" t="n">
        <x:f>((H89+I89)/2)*SUMIFS('Cenários de GMD'!$D$4:$D$19,'Cenários de GMD'!$A$4:$A$19,B89,'Cenários de GMD'!$B$4:$B$19,C89)</x:f>
        <x:v>0.23863636363636362</x:v>
      </x:c>
      <x:c r="N89" s="23" t="n">
        <x:f>((H89+I89)/2)*SUMIFS('Cenários de GMD'!$E$4:$E$19,'Cenários de GMD'!$A$4:$A$19,B89,'Cenários de GMD'!$B$4:$B$19,C89)</x:f>
        <x:v>0</x:v>
      </x:c>
      <x:c r="O89" s="21" t="n">
        <x:f>M89*Insumos!$E$4+N89*Insumos!$E$5</x:f>
        <x:v>0.7244999999999999</x:v>
      </x:c>
      <x:c r="P89" s="21" t="n">
        <x:f>O89*Premissas!$B$7</x:f>
        <x:v>21.735</x:v>
      </x:c>
      <x:c r="Q89" s="21" t="n">
        <x:f>O89*L89</x:f>
        <x:v>0</x:v>
      </x:c>
      <x:c r="R89" s="21" t="n">
        <x:f>Premissas!$B$7*Premissas!$B$8*L89</x:f>
        <x:v>0</x:v>
      </x:c>
      <x:c r="S89" s="21" t="n">
        <x:f>D89*E89</x:f>
        <x:v>2805</x:v>
      </x:c>
      <x:c r="T89" s="21" t="n">
        <x:f>S89*F89</x:f>
        <x:v>47685</x:v>
      </x:c>
      <x:c r="U89" s="21" t="n">
        <x:f>S89-XLOOKUP(A89,Lotes!$A$4:$A$8,Lotes!$D$4:$D$8,Premissas!$B$9)-Q89-R89</x:f>
        <x:v>855</x:v>
      </x:c>
      <x:c r="V89" s="21" t="n">
        <x:f>U89*F89</x:f>
        <x:v>14535</x:v>
      </x:c>
      <x:c r="W89" s="20" t="n">
        <x:f>IF(S89=0,0,U89/S89)</x:f>
        <x:v>0.3048128342245989</x:v>
      </x:c>
      <x:c r="X89" s="21" t="n">
        <x:f>IF(D89-G89&lt;=0,0,Q89/(D89-G89))</x:f>
        <x:v>0</x:v>
      </x:c>
      <x:c r="Y89" s="20" t="n">
        <x:f>IFERROR(U89/(XLOOKUP(A89,Lotes!$A$4:$A$8,Lotes!$D$4:$D$8,Premissas!$B$9)+Q89+R89),0)</x:f>
        <x:v>0.43846153846153846</x:v>
      </x:c>
      <x:c r="Z89" s="20" t="n">
        <x:f>IF(L89=0,Y89,Y89/MAX(1,L89/Premissas!$B$7))</x:f>
        <x:v>0.43846153846153846</x:v>
      </x:c>
      <x:c r="AA89" s="19" t="str">
        <x:f>IF(L89=0,"Venda imediata",IF(L89&lt;=60,"Baixo",IF(L89&lt;=120,"Médio","Alto")))</x:f>
        <x:v>Venda imediata</x:v>
      </x:c>
      <x:c r="AB89" s="19" t="str">
        <x:f>IF(U89&lt;0,"Não fazer",IF(AA89="Alto","Risco seca",IF(Z89&gt;=0.03,"Bom giro","Margem ok")))</x:f>
        <x:v>Bom giro</x:v>
      </x:c>
    </x:row>
    <x:row r="90">
      <x:c r="A90" s="19" t="str">
        <x:v>Lote maior - otimista 9@</x:v>
      </x:c>
      <x:c r="B90" s="19" t="str">
        <x:v>Somente Fortis</x:v>
      </x:c>
      <x:c r="C90" s="19" t="str">
        <x:v>Pasto bom</x:v>
      </x:c>
      <x:c r="D90" s="19" t="n">
        <x:v>9</x:v>
      </x:c>
      <x:c r="E90" s="21" t="n">
        <x:f>Premissas!$B$6</x:f>
        <x:v>330</x:v>
      </x:c>
      <x:c r="F90" s="19" t="n">
        <x:f>XLOOKUP(A90,Lotes!$A$4:$A$8,Lotes!$B$4:$B$8,0)</x:f>
        <x:v>17</x:v>
      </x:c>
      <x:c r="G90" s="23" t="n">
        <x:f>XLOOKUP(A90,Lotes!$A$4:$A$8,Lotes!$C$4:$C$8,0)</x:f>
        <x:v>9</x:v>
      </x:c>
      <x:c r="H90" s="23" t="n">
        <x:f>G90*Premissas!$B$5/Premissas!$B$4</x:f>
        <x:v>245.45454545454544</x:v>
      </x:c>
      <x:c r="I90" s="23" t="n">
        <x:f>D90*Premissas!$B$5/Premissas!$B$4</x:f>
        <x:v>245.45454545454544</x:v>
      </x:c>
      <x:c r="J90" s="23" t="n">
        <x:f>MAX(0,I90-H90)</x:f>
        <x:v>0</x:v>
      </x:c>
      <x:c r="K90" s="23" t="n">
        <x:f>SUMIFS('Cenários de GMD'!$C$4:$C$19,'Cenários de GMD'!$A$4:$A$19,B90,'Cenários de GMD'!$B$4:$B$19,C90)</x:f>
        <x:v>0.5</x:v>
      </x:c>
      <x:c r="L90" s="23" t="n">
        <x:f>IF(J90=0,0,J90/K90)</x:f>
        <x:v>0</x:v>
      </x:c>
      <x:c r="M90" s="23" t="n">
        <x:f>((H90+I90)/2)*SUMIFS('Cenários de GMD'!$D$4:$D$19,'Cenários de GMD'!$A$4:$A$19,B90,'Cenários de GMD'!$B$4:$B$19,C90)</x:f>
        <x:v>0.24545454545454545</x:v>
      </x:c>
      <x:c r="N90" s="23" t="n">
        <x:f>((H90+I90)/2)*SUMIFS('Cenários de GMD'!$E$4:$E$19,'Cenários de GMD'!$A$4:$A$19,B90,'Cenários de GMD'!$B$4:$B$19,C90)</x:f>
        <x:v>0</x:v>
      </x:c>
      <x:c r="O90" s="21" t="n">
        <x:f>M90*Insumos!$E$4+N90*Insumos!$E$5</x:f>
        <x:v>0.7452</x:v>
      </x:c>
      <x:c r="P90" s="21" t="n">
        <x:f>O90*Premissas!$B$7</x:f>
        <x:v>22.355999999999998</x:v>
      </x:c>
      <x:c r="Q90" s="21" t="n">
        <x:f>O90*L90</x:f>
        <x:v>0</x:v>
      </x:c>
      <x:c r="R90" s="21" t="n">
        <x:f>Premissas!$B$7*Premissas!$B$8*L90</x:f>
        <x:v>0</x:v>
      </x:c>
      <x:c r="S90" s="21" t="n">
        <x:f>D90*E90</x:f>
        <x:v>2970</x:v>
      </x:c>
      <x:c r="T90" s="21" t="n">
        <x:f>S90*F90</x:f>
        <x:v>50490</x:v>
      </x:c>
      <x:c r="U90" s="21" t="n">
        <x:f>S90-XLOOKUP(A90,Lotes!$A$4:$A$8,Lotes!$D$4:$D$8,Premissas!$B$9)-Q90-R90</x:f>
        <x:v>1020</x:v>
      </x:c>
      <x:c r="V90" s="21" t="n">
        <x:f>U90*F90</x:f>
        <x:v>17340</x:v>
      </x:c>
      <x:c r="W90" s="20" t="n">
        <x:f>IF(S90=0,0,U90/S90)</x:f>
        <x:v>0.3434343434343434</x:v>
      </x:c>
      <x:c r="X90" s="21" t="n">
        <x:f>IF(D90-G90&lt;=0,0,Q90/(D90-G90))</x:f>
        <x:v>0</x:v>
      </x:c>
      <x:c r="Y90" s="20" t="n">
        <x:f>IFERROR(U90/(XLOOKUP(A90,Lotes!$A$4:$A$8,Lotes!$D$4:$D$8,Premissas!$B$9)+Q90+R90),0)</x:f>
        <x:v>0.5230769230769231</x:v>
      </x:c>
      <x:c r="Z90" s="20" t="n">
        <x:f>IF(L90=0,Y90,Y90/MAX(1,L90/Premissas!$B$7))</x:f>
        <x:v>0.5230769230769231</x:v>
      </x:c>
      <x:c r="AA90" s="19" t="str">
        <x:f>IF(L90=0,"Venda imediata",IF(L90&lt;=60,"Baixo",IF(L90&lt;=120,"Médio","Alto")))</x:f>
        <x:v>Venda imediata</x:v>
      </x:c>
      <x:c r="AB90" s="19" t="str">
        <x:f>IF(U90&lt;0,"Não fazer",IF(AA90="Alto","Risco seca",IF(Z90&gt;=0.03,"Bom giro","Margem ok")))</x:f>
        <x:v>Bom giro</x:v>
      </x:c>
    </x:row>
    <x:row r="91">
      <x:c r="A91" s="19" t="str">
        <x:v>Lote maior - otimista 9@</x:v>
      </x:c>
      <x:c r="B91" s="19" t="str">
        <x:v>Somente Fortis</x:v>
      </x:c>
      <x:c r="C91" s="19" t="str">
        <x:v>Pasto bom</x:v>
      </x:c>
      <x:c r="D91" s="19" t="n">
        <x:v>10.5</x:v>
      </x:c>
      <x:c r="E91" s="21" t="n">
        <x:f>Premissas!$B$6</x:f>
        <x:v>330</x:v>
      </x:c>
      <x:c r="F91" s="19" t="n">
        <x:f>XLOOKUP(A91,Lotes!$A$4:$A$8,Lotes!$B$4:$B$8,0)</x:f>
        <x:v>17</x:v>
      </x:c>
      <x:c r="G91" s="23" t="n">
        <x:f>XLOOKUP(A91,Lotes!$A$4:$A$8,Lotes!$C$4:$C$8,0)</x:f>
        <x:v>9</x:v>
      </x:c>
      <x:c r="H91" s="23" t="n">
        <x:f>G91*Premissas!$B$5/Premissas!$B$4</x:f>
        <x:v>245.45454545454544</x:v>
      </x:c>
      <x:c r="I91" s="23" t="n">
        <x:f>D91*Premissas!$B$5/Premissas!$B$4</x:f>
        <x:v>286.3636363636363</x:v>
      </x:c>
      <x:c r="J91" s="23" t="n">
        <x:f>MAX(0,I91-H91)</x:f>
        <x:v>40.90909090909088</x:v>
      </x:c>
      <x:c r="K91" s="23" t="n">
        <x:f>SUMIFS('Cenários de GMD'!$C$4:$C$19,'Cenários de GMD'!$A$4:$A$19,B91,'Cenários de GMD'!$B$4:$B$19,C91)</x:f>
        <x:v>0.5</x:v>
      </x:c>
      <x:c r="L91" s="23" t="n">
        <x:f>IF(J91=0,0,J91/K91)</x:f>
        <x:v>81.81818181818176</x:v>
      </x:c>
      <x:c r="M91" s="23" t="n">
        <x:f>((H91+I91)/2)*SUMIFS('Cenários de GMD'!$D$4:$D$19,'Cenários de GMD'!$A$4:$A$19,B91,'Cenários de GMD'!$B$4:$B$19,C91)</x:f>
        <x:v>0.2659090909090909</x:v>
      </x:c>
      <x:c r="N91" s="23" t="n">
        <x:f>((H91+I91)/2)*SUMIFS('Cenários de GMD'!$E$4:$E$19,'Cenários de GMD'!$A$4:$A$19,B91,'Cenários de GMD'!$B$4:$B$19,C91)</x:f>
        <x:v>0</x:v>
      </x:c>
      <x:c r="O91" s="21" t="n">
        <x:f>M91*Insumos!$E$4+N91*Insumos!$E$5</x:f>
        <x:v>0.8072999999999999</x:v>
      </x:c>
      <x:c r="P91" s="21" t="n">
        <x:f>O91*Premissas!$B$7</x:f>
        <x:v>24.218999999999998</x:v>
      </x:c>
      <x:c r="Q91" s="21" t="n">
        <x:f>O91*L91</x:f>
        <x:v>66.05181818181812</x:v>
      </x:c>
      <x:c r="R91" s="21" t="n">
        <x:f>Premissas!$B$7*Premissas!$B$8*L91</x:f>
        <x:v>0</x:v>
      </x:c>
      <x:c r="S91" s="21" t="n">
        <x:f>D91*E91</x:f>
        <x:v>3465</x:v>
      </x:c>
      <x:c r="T91" s="21" t="n">
        <x:f>S91*F91</x:f>
        <x:v>58905</x:v>
      </x:c>
      <x:c r="U91" s="21" t="n">
        <x:f>S91-XLOOKUP(A91,Lotes!$A$4:$A$8,Lotes!$D$4:$D$8,Premissas!$B$9)-Q91-R91</x:f>
        <x:v>1448.9481818181819</x:v>
      </x:c>
      <x:c r="V91" s="21" t="n">
        <x:f>U91*F91</x:f>
        <x:v>24632.11909090909</x:v>
      </x:c>
      <x:c r="W91" s="20" t="n">
        <x:f>IF(S91=0,0,U91/S91)</x:f>
        <x:v>0.41816686343959075</x:v>
      </x:c>
      <x:c r="X91" s="21" t="n">
        <x:f>IF(D91-G91&lt;=0,0,Q91/(D91-G91))</x:f>
        <x:v>44.034545454545416</x:v>
      </x:c>
      <x:c r="Y91" s="20" t="n">
        <x:f>IFERROR(U91/(XLOOKUP(A91,Lotes!$A$4:$A$8,Lotes!$D$4:$D$8,Premissas!$B$9)+Q91+R91),0)</x:f>
        <x:v>0.7187058233081131</x:v>
      </x:c>
      <x:c r="Z91" s="20" t="n">
        <x:f>IF(L91=0,Y91,Y91/MAX(1,L91/Premissas!$B$7))</x:f>
        <x:v>0.2635254685463083</x:v>
      </x:c>
      <x:c r="AA91" s="19" t="str">
        <x:f>IF(L91=0,"Venda imediata",IF(L91&lt;=60,"Baixo",IF(L91&lt;=120,"Médio","Alto")))</x:f>
        <x:v>Médio</x:v>
      </x:c>
      <x:c r="AB91" s="19" t="str">
        <x:f>IF(U91&lt;0,"Não fazer",IF(AA91="Alto","Risco seca",IF(Z91&gt;=0.03,"Bom giro","Margem ok")))</x:f>
        <x:v>Bom giro</x:v>
      </x:c>
    </x:row>
    <x:row r="92">
      <x:c r="A92" s="19" t="str">
        <x:v>Lote maior - otimista 9@</x:v>
      </x:c>
      <x:c r="B92" s="19" t="str">
        <x:v>Somente Fortis</x:v>
      </x:c>
      <x:c r="C92" s="19" t="str">
        <x:v>Pasto bom</x:v>
      </x:c>
      <x:c r="D92" s="19" t="n">
        <x:v>11</x:v>
      </x:c>
      <x:c r="E92" s="21" t="n">
        <x:f>Premissas!$B$6</x:f>
        <x:v>330</x:v>
      </x:c>
      <x:c r="F92" s="19" t="n">
        <x:f>XLOOKUP(A92,Lotes!$A$4:$A$8,Lotes!$B$4:$B$8,0)</x:f>
        <x:v>17</x:v>
      </x:c>
      <x:c r="G92" s="23" t="n">
        <x:f>XLOOKUP(A92,Lotes!$A$4:$A$8,Lotes!$C$4:$C$8,0)</x:f>
        <x:v>9</x:v>
      </x:c>
      <x:c r="H92" s="23" t="n">
        <x:f>G92*Premissas!$B$5/Premissas!$B$4</x:f>
        <x:v>245.45454545454544</x:v>
      </x:c>
      <x:c r="I92" s="23" t="n">
        <x:f>D92*Premissas!$B$5/Premissas!$B$4</x:f>
        <x:v>300</x:v>
      </x:c>
      <x:c r="J92" s="23" t="n">
        <x:f>MAX(0,I92-H92)</x:f>
        <x:v>54.54545454545456</x:v>
      </x:c>
      <x:c r="K92" s="23" t="n">
        <x:f>SUMIFS('Cenários de GMD'!$C$4:$C$19,'Cenários de GMD'!$A$4:$A$19,B92,'Cenários de GMD'!$B$4:$B$19,C92)</x:f>
        <x:v>0.5</x:v>
      </x:c>
      <x:c r="L92" s="23" t="n">
        <x:f>IF(J92=0,0,J92/K92)</x:f>
        <x:v>109.09090909090912</x:v>
      </x:c>
      <x:c r="M92" s="23" t="n">
        <x:f>((H92+I92)/2)*SUMIFS('Cenários de GMD'!$D$4:$D$19,'Cenários de GMD'!$A$4:$A$19,B92,'Cenários de GMD'!$B$4:$B$19,C92)</x:f>
        <x:v>0.27272727272727276</x:v>
      </x:c>
      <x:c r="N92" s="23" t="n">
        <x:f>((H92+I92)/2)*SUMIFS('Cenários de GMD'!$E$4:$E$19,'Cenários de GMD'!$A$4:$A$19,B92,'Cenários de GMD'!$B$4:$B$19,C92)</x:f>
        <x:v>0</x:v>
      </x:c>
      <x:c r="O92" s="21" t="n">
        <x:f>M92*Insumos!$E$4+N92*Insumos!$E$5</x:f>
        <x:v>0.8280000000000001</x:v>
      </x:c>
      <x:c r="P92" s="21" t="n">
        <x:f>O92*Premissas!$B$7</x:f>
        <x:v>24.840000000000003</x:v>
      </x:c>
      <x:c r="Q92" s="21" t="n">
        <x:f>O92*L92</x:f>
        <x:v>90.32727272727276</x:v>
      </x:c>
      <x:c r="R92" s="21" t="n">
        <x:f>Premissas!$B$7*Premissas!$B$8*L92</x:f>
        <x:v>0</x:v>
      </x:c>
      <x:c r="S92" s="21" t="n">
        <x:f>D92*E92</x:f>
        <x:v>3630</x:v>
      </x:c>
      <x:c r="T92" s="21" t="n">
        <x:f>S92*F92</x:f>
        <x:v>61710</x:v>
      </x:c>
      <x:c r="U92" s="21" t="n">
        <x:f>S92-XLOOKUP(A92,Lotes!$A$4:$A$8,Lotes!$D$4:$D$8,Premissas!$B$9)-Q92-R92</x:f>
        <x:v>1589.6727272727273</x:v>
      </x:c>
      <x:c r="V92" s="21" t="n">
        <x:f>U92*F92</x:f>
        <x:v>27024.436363636363</x:v>
      </x:c>
      <x:c r="W92" s="20" t="n">
        <x:f>IF(S92=0,0,U92/S92)</x:f>
        <x:v>0.43792637114951166</x:v>
      </x:c>
      <x:c r="X92" s="21" t="n">
        <x:f>IF(D92-G92&lt;=0,0,Q92/(D92-G92))</x:f>
        <x:v>45.16363636363638</x:v>
      </x:c>
      <x:c r="Y92" s="20" t="n">
        <x:f>IFERROR(U92/(XLOOKUP(A92,Lotes!$A$4:$A$8,Lotes!$D$4:$D$8,Premissas!$B$9)+Q92+R92),0)</x:f>
        <x:v>0.7791263433673743</x:v>
      </x:c>
      <x:c r="Z92" s="20" t="n">
        <x:f>IF(L92=0,Y92,Y92/MAX(1,L92/Premissas!$B$7))</x:f>
        <x:v>0.21425974442602785</x:v>
      </x:c>
      <x:c r="AA92" s="19" t="str">
        <x:f>IF(L92=0,"Venda imediata",IF(L92&lt;=60,"Baixo",IF(L92&lt;=120,"Médio","Alto")))</x:f>
        <x:v>Médio</x:v>
      </x:c>
      <x:c r="AB92" s="19" t="str">
        <x:f>IF(U92&lt;0,"Não fazer",IF(AA92="Alto","Risco seca",IF(Z92&gt;=0.03,"Bom giro","Margem ok")))</x:f>
        <x:v>Bom giro</x:v>
      </x:c>
    </x:row>
    <x:row r="93">
      <x:c r="A93" s="19" t="str">
        <x:v>Lote maior - otimista 9@</x:v>
      </x:c>
      <x:c r="B93" s="19" t="str">
        <x:v>Somente Fortis</x:v>
      </x:c>
      <x:c r="C93" s="19" t="str">
        <x:v>Pasto bom</x:v>
      </x:c>
      <x:c r="D93" s="19" t="n">
        <x:v>12</x:v>
      </x:c>
      <x:c r="E93" s="21" t="n">
        <x:f>Premissas!$B$6</x:f>
        <x:v>330</x:v>
      </x:c>
      <x:c r="F93" s="19" t="n">
        <x:f>XLOOKUP(A93,Lotes!$A$4:$A$8,Lotes!$B$4:$B$8,0)</x:f>
        <x:v>17</x:v>
      </x:c>
      <x:c r="G93" s="23" t="n">
        <x:f>XLOOKUP(A93,Lotes!$A$4:$A$8,Lotes!$C$4:$C$8,0)</x:f>
        <x:v>9</x:v>
      </x:c>
      <x:c r="H93" s="23" t="n">
        <x:f>G93*Premissas!$B$5/Premissas!$B$4</x:f>
        <x:v>245.45454545454544</x:v>
      </x:c>
      <x:c r="I93" s="23" t="n">
        <x:f>D93*Premissas!$B$5/Premissas!$B$4</x:f>
        <x:v>327.27272727272725</x:v>
      </x:c>
      <x:c r="J93" s="23" t="n">
        <x:f>MAX(0,I93-H93)</x:f>
        <x:v>81.81818181818181</x:v>
      </x:c>
      <x:c r="K93" s="23" t="n">
        <x:f>SUMIFS('Cenários de GMD'!$C$4:$C$19,'Cenários de GMD'!$A$4:$A$19,B93,'Cenários de GMD'!$B$4:$B$19,C93)</x:f>
        <x:v>0.5</x:v>
      </x:c>
      <x:c r="L93" s="23" t="n">
        <x:f>IF(J93=0,0,J93/K93)</x:f>
        <x:v>163.63636363636363</x:v>
      </x:c>
      <x:c r="M93" s="23" t="n">
        <x:f>((H93+I93)/2)*SUMIFS('Cenários de GMD'!$D$4:$D$19,'Cenários de GMD'!$A$4:$A$19,B93,'Cenários de GMD'!$B$4:$B$19,C93)</x:f>
        <x:v>0.2863636363636364</x:v>
      </x:c>
      <x:c r="N93" s="23" t="n">
        <x:f>((H93+I93)/2)*SUMIFS('Cenários de GMD'!$E$4:$E$19,'Cenários de GMD'!$A$4:$A$19,B93,'Cenários de GMD'!$B$4:$B$19,C93)</x:f>
        <x:v>0</x:v>
      </x:c>
      <x:c r="O93" s="21" t="n">
        <x:f>M93*Insumos!$E$4+N93*Insumos!$E$5</x:f>
        <x:v>0.8694000000000001</x:v>
      </x:c>
      <x:c r="P93" s="21" t="n">
        <x:f>O93*Premissas!$B$7</x:f>
        <x:v>26.082</x:v>
      </x:c>
      <x:c r="Q93" s="21" t="n">
        <x:f>O93*L93</x:f>
        <x:v>142.26545454545456</x:v>
      </x:c>
      <x:c r="R93" s="21" t="n">
        <x:f>Premissas!$B$7*Premissas!$B$8*L93</x:f>
        <x:v>0</x:v>
      </x:c>
      <x:c r="S93" s="21" t="n">
        <x:f>D93*E93</x:f>
        <x:v>3960</x:v>
      </x:c>
      <x:c r="T93" s="21" t="n">
        <x:f>S93*F93</x:f>
        <x:v>67320</x:v>
      </x:c>
      <x:c r="U93" s="21" t="n">
        <x:f>S93-XLOOKUP(A93,Lotes!$A$4:$A$8,Lotes!$D$4:$D$8,Premissas!$B$9)-Q93-R93</x:f>
        <x:v>1867.7345454545455</x:v>
      </x:c>
      <x:c r="V93" s="21" t="n">
        <x:f>U93*F93</x:f>
        <x:v>31751.487272727274</x:v>
      </x:c>
      <x:c r="W93" s="20" t="n">
        <x:f>IF(S93=0,0,U93/S93)</x:f>
        <x:v>0.47165013774104686</x:v>
      </x:c>
      <x:c r="X93" s="21" t="n">
        <x:f>IF(D93-G93&lt;=0,0,Q93/(D93-G93))</x:f>
        <x:v>47.42181818181819</x:v>
      </x:c>
      <x:c r="Y93" s="20" t="n">
        <x:f>IFERROR(U93/(XLOOKUP(A93,Lotes!$A$4:$A$8,Lotes!$D$4:$D$8,Premissas!$B$9)+Q93+R93),0)</x:f>
        <x:v>0.8926852667747703</x:v>
      </x:c>
      <x:c r="Z93" s="20" t="n">
        <x:f>IF(L93=0,Y93,Y93/MAX(1,L93/Premissas!$B$7))</x:f>
        <x:v>0.16365896557537457</x:v>
      </x:c>
      <x:c r="AA93" s="19" t="str">
        <x:f>IF(L93=0,"Venda imediata",IF(L93&lt;=60,"Baixo",IF(L93&lt;=120,"Médio","Alto")))</x:f>
        <x:v>Alto</x:v>
      </x:c>
      <x:c r="AB93" s="19" t="str">
        <x:f>IF(U93&lt;0,"Não fazer",IF(AA93="Alto","Risco seca",IF(Z93&gt;=0.03,"Bom giro","Margem ok")))</x:f>
        <x:v>Risco seca</x:v>
      </x:c>
    </x:row>
    <x:row r="94">
      <x:c r="A94" s="19" t="str">
        <x:v>Lote maior - otimista 9@</x:v>
      </x:c>
      <x:c r="B94" s="19" t="str">
        <x:v>Econômica</x:v>
      </x:c>
      <x:c r="C94" s="19" t="str">
        <x:v>Conservador</x:v>
      </x:c>
      <x:c r="D94" s="19" t="n">
        <x:v>8.5</x:v>
      </x:c>
      <x:c r="E94" s="21" t="n">
        <x:f>Premissas!$B$6</x:f>
        <x:v>330</x:v>
      </x:c>
      <x:c r="F94" s="19" t="n">
        <x:f>XLOOKUP(A94,Lotes!$A$4:$A$8,Lotes!$B$4:$B$8,0)</x:f>
        <x:v>17</x:v>
      </x:c>
      <x:c r="G94" s="23" t="n">
        <x:f>XLOOKUP(A94,Lotes!$A$4:$A$8,Lotes!$C$4:$C$8,0)</x:f>
        <x:v>9</x:v>
      </x:c>
      <x:c r="H94" s="23" t="n">
        <x:f>G94*Premissas!$B$5/Premissas!$B$4</x:f>
        <x:v>245.45454545454544</x:v>
      </x:c>
      <x:c r="I94" s="23" t="n">
        <x:f>D94*Premissas!$B$5/Premissas!$B$4</x:f>
        <x:v>231.8181818181818</x:v>
      </x:c>
      <x:c r="J94" s="23" t="n">
        <x:f>MAX(0,I94-H94)</x:f>
        <x:v>0</x:v>
      </x:c>
      <x:c r="K94" s="23" t="n">
        <x:f>SUMIFS('Cenários de GMD'!$C$4:$C$19,'Cenários de GMD'!$A$4:$A$19,B94,'Cenários de GMD'!$B$4:$B$19,C94)</x:f>
        <x:v>0.4</x:v>
      </x:c>
      <x:c r="L94" s="23" t="n">
        <x:f>IF(J94=0,0,J94/K94)</x:f>
        <x:v>0</x:v>
      </x:c>
      <x:c r="M94" s="23" t="n">
        <x:f>((H94+I94)/2)*SUMIFS('Cenários de GMD'!$D$4:$D$19,'Cenários de GMD'!$A$4:$A$19,B94,'Cenários de GMD'!$B$4:$B$19,C94)</x:f>
        <x:v>0.23863636363636362</x:v>
      </x:c>
      <x:c r="N94" s="23" t="n">
        <x:f>((H94+I94)/2)*SUMIFS('Cenários de GMD'!$E$4:$E$19,'Cenários de GMD'!$A$4:$A$19,B94,'Cenários de GMD'!$B$4:$B$19,C94)</x:f>
        <x:v>0.7159090909090909</x:v>
      </x:c>
      <x:c r="O94" s="21" t="n">
        <x:f>M94*Insumos!$E$4+N94*Insumos!$E$5</x:f>
        <x:v>2.1443863636363636</x:v>
      </x:c>
      <x:c r="P94" s="21" t="n">
        <x:f>O94*Premissas!$B$7</x:f>
        <x:v>64.3315909090909</x:v>
      </x:c>
      <x:c r="Q94" s="21" t="n">
        <x:f>O94*L94</x:f>
        <x:v>0</x:v>
      </x:c>
      <x:c r="R94" s="21" t="n">
        <x:f>Premissas!$B$7*Premissas!$B$8*L94</x:f>
        <x:v>0</x:v>
      </x:c>
      <x:c r="S94" s="21" t="n">
        <x:f>D94*E94</x:f>
        <x:v>2805</x:v>
      </x:c>
      <x:c r="T94" s="21" t="n">
        <x:f>S94*F94</x:f>
        <x:v>47685</x:v>
      </x:c>
      <x:c r="U94" s="21" t="n">
        <x:f>S94-XLOOKUP(A94,Lotes!$A$4:$A$8,Lotes!$D$4:$D$8,Premissas!$B$9)-Q94-R94</x:f>
        <x:v>855</x:v>
      </x:c>
      <x:c r="V94" s="21" t="n">
        <x:f>U94*F94</x:f>
        <x:v>14535</x:v>
      </x:c>
      <x:c r="W94" s="20" t="n">
        <x:f>IF(S94=0,0,U94/S94)</x:f>
        <x:v>0.3048128342245989</x:v>
      </x:c>
      <x:c r="X94" s="21" t="n">
        <x:f>IF(D94-G94&lt;=0,0,Q94/(D94-G94))</x:f>
        <x:v>0</x:v>
      </x:c>
      <x:c r="Y94" s="20" t="n">
        <x:f>IFERROR(U94/(XLOOKUP(A94,Lotes!$A$4:$A$8,Lotes!$D$4:$D$8,Premissas!$B$9)+Q94+R94),0)</x:f>
        <x:v>0.43846153846153846</x:v>
      </x:c>
      <x:c r="Z94" s="20" t="n">
        <x:f>IF(L94=0,Y94,Y94/MAX(1,L94/Premissas!$B$7))</x:f>
        <x:v>0.43846153846153846</x:v>
      </x:c>
      <x:c r="AA94" s="19" t="str">
        <x:f>IF(L94=0,"Venda imediata",IF(L94&lt;=60,"Baixo",IF(L94&lt;=120,"Médio","Alto")))</x:f>
        <x:v>Venda imediata</x:v>
      </x:c>
      <x:c r="AB94" s="19" t="str">
        <x:f>IF(U94&lt;0,"Não fazer",IF(AA94="Alto","Risco seca",IF(Z94&gt;=0.03,"Bom giro","Margem ok")))</x:f>
        <x:v>Bom giro</x:v>
      </x:c>
    </x:row>
    <x:row r="95">
      <x:c r="A95" s="19" t="str">
        <x:v>Lote maior - otimista 9@</x:v>
      </x:c>
      <x:c r="B95" s="19" t="str">
        <x:v>Econômica</x:v>
      </x:c>
      <x:c r="C95" s="19" t="str">
        <x:v>Conservador</x:v>
      </x:c>
      <x:c r="D95" s="19" t="n">
        <x:v>9</x:v>
      </x:c>
      <x:c r="E95" s="21" t="n">
        <x:f>Premissas!$B$6</x:f>
        <x:v>330</x:v>
      </x:c>
      <x:c r="F95" s="19" t="n">
        <x:f>XLOOKUP(A95,Lotes!$A$4:$A$8,Lotes!$B$4:$B$8,0)</x:f>
        <x:v>17</x:v>
      </x:c>
      <x:c r="G95" s="23" t="n">
        <x:f>XLOOKUP(A95,Lotes!$A$4:$A$8,Lotes!$C$4:$C$8,0)</x:f>
        <x:v>9</x:v>
      </x:c>
      <x:c r="H95" s="23" t="n">
        <x:f>G95*Premissas!$B$5/Premissas!$B$4</x:f>
        <x:v>245.45454545454544</x:v>
      </x:c>
      <x:c r="I95" s="23" t="n">
        <x:f>D95*Premissas!$B$5/Premissas!$B$4</x:f>
        <x:v>245.45454545454544</x:v>
      </x:c>
      <x:c r="J95" s="23" t="n">
        <x:f>MAX(0,I95-H95)</x:f>
        <x:v>0</x:v>
      </x:c>
      <x:c r="K95" s="23" t="n">
        <x:f>SUMIFS('Cenários de GMD'!$C$4:$C$19,'Cenários de GMD'!$A$4:$A$19,B95,'Cenários de GMD'!$B$4:$B$19,C95)</x:f>
        <x:v>0.4</x:v>
      </x:c>
      <x:c r="L95" s="23" t="n">
        <x:f>IF(J95=0,0,J95/K95)</x:f>
        <x:v>0</x:v>
      </x:c>
      <x:c r="M95" s="23" t="n">
        <x:f>((H95+I95)/2)*SUMIFS('Cenários de GMD'!$D$4:$D$19,'Cenários de GMD'!$A$4:$A$19,B95,'Cenários de GMD'!$B$4:$B$19,C95)</x:f>
        <x:v>0.24545454545454545</x:v>
      </x:c>
      <x:c r="N95" s="23" t="n">
        <x:f>((H95+I95)/2)*SUMIFS('Cenários de GMD'!$E$4:$E$19,'Cenários de GMD'!$A$4:$A$19,B95,'Cenários de GMD'!$B$4:$B$19,C95)</x:f>
        <x:v>0.7363636363636363</x:v>
      </x:c>
      <x:c r="O95" s="21" t="n">
        <x:f>M95*Insumos!$E$4+N95*Insumos!$E$5</x:f>
        <x:v>2.2056545454545455</x:v>
      </x:c>
      <x:c r="P95" s="21" t="n">
        <x:f>O95*Premissas!$B$7</x:f>
        <x:v>66.16963636363637</x:v>
      </x:c>
      <x:c r="Q95" s="21" t="n">
        <x:f>O95*L95</x:f>
        <x:v>0</x:v>
      </x:c>
      <x:c r="R95" s="21" t="n">
        <x:f>Premissas!$B$7*Premissas!$B$8*L95</x:f>
        <x:v>0</x:v>
      </x:c>
      <x:c r="S95" s="21" t="n">
        <x:f>D95*E95</x:f>
        <x:v>2970</x:v>
      </x:c>
      <x:c r="T95" s="21" t="n">
        <x:f>S95*F95</x:f>
        <x:v>50490</x:v>
      </x:c>
      <x:c r="U95" s="21" t="n">
        <x:f>S95-XLOOKUP(A95,Lotes!$A$4:$A$8,Lotes!$D$4:$D$8,Premissas!$B$9)-Q95-R95</x:f>
        <x:v>1020</x:v>
      </x:c>
      <x:c r="V95" s="21" t="n">
        <x:f>U95*F95</x:f>
        <x:v>17340</x:v>
      </x:c>
      <x:c r="W95" s="20" t="n">
        <x:f>IF(S95=0,0,U95/S95)</x:f>
        <x:v>0.3434343434343434</x:v>
      </x:c>
      <x:c r="X95" s="21" t="n">
        <x:f>IF(D95-G95&lt;=0,0,Q95/(D95-G95))</x:f>
        <x:v>0</x:v>
      </x:c>
      <x:c r="Y95" s="20" t="n">
        <x:f>IFERROR(U95/(XLOOKUP(A95,Lotes!$A$4:$A$8,Lotes!$D$4:$D$8,Premissas!$B$9)+Q95+R95),0)</x:f>
        <x:v>0.5230769230769231</x:v>
      </x:c>
      <x:c r="Z95" s="20" t="n">
        <x:f>IF(L95=0,Y95,Y95/MAX(1,L95/Premissas!$B$7))</x:f>
        <x:v>0.5230769230769231</x:v>
      </x:c>
      <x:c r="AA95" s="19" t="str">
        <x:f>IF(L95=0,"Venda imediata",IF(L95&lt;=60,"Baixo",IF(L95&lt;=120,"Médio","Alto")))</x:f>
        <x:v>Venda imediata</x:v>
      </x:c>
      <x:c r="AB95" s="19" t="str">
        <x:f>IF(U95&lt;0,"Não fazer",IF(AA95="Alto","Risco seca",IF(Z95&gt;=0.03,"Bom giro","Margem ok")))</x:f>
        <x:v>Bom giro</x:v>
      </x:c>
    </x:row>
    <x:row r="96">
      <x:c r="A96" s="19" t="str">
        <x:v>Lote maior - otimista 9@</x:v>
      </x:c>
      <x:c r="B96" s="19" t="str">
        <x:v>Econômica</x:v>
      </x:c>
      <x:c r="C96" s="19" t="str">
        <x:v>Conservador</x:v>
      </x:c>
      <x:c r="D96" s="19" t="n">
        <x:v>10.5</x:v>
      </x:c>
      <x:c r="E96" s="21" t="n">
        <x:f>Premissas!$B$6</x:f>
        <x:v>330</x:v>
      </x:c>
      <x:c r="F96" s="19" t="n">
        <x:f>XLOOKUP(A96,Lotes!$A$4:$A$8,Lotes!$B$4:$B$8,0)</x:f>
        <x:v>17</x:v>
      </x:c>
      <x:c r="G96" s="23" t="n">
        <x:f>XLOOKUP(A96,Lotes!$A$4:$A$8,Lotes!$C$4:$C$8,0)</x:f>
        <x:v>9</x:v>
      </x:c>
      <x:c r="H96" s="23" t="n">
        <x:f>G96*Premissas!$B$5/Premissas!$B$4</x:f>
        <x:v>245.45454545454544</x:v>
      </x:c>
      <x:c r="I96" s="23" t="n">
        <x:f>D96*Premissas!$B$5/Premissas!$B$4</x:f>
        <x:v>286.3636363636363</x:v>
      </x:c>
      <x:c r="J96" s="23" t="n">
        <x:f>MAX(0,I96-H96)</x:f>
        <x:v>40.90909090909088</x:v>
      </x:c>
      <x:c r="K96" s="23" t="n">
        <x:f>SUMIFS('Cenários de GMD'!$C$4:$C$19,'Cenários de GMD'!$A$4:$A$19,B96,'Cenários de GMD'!$B$4:$B$19,C96)</x:f>
        <x:v>0.4</x:v>
      </x:c>
      <x:c r="L96" s="23" t="n">
        <x:f>IF(J96=0,0,J96/K96)</x:f>
        <x:v>102.2727272727272</x:v>
      </x:c>
      <x:c r="M96" s="23" t="n">
        <x:f>((H96+I96)/2)*SUMIFS('Cenários de GMD'!$D$4:$D$19,'Cenários de GMD'!$A$4:$A$19,B96,'Cenários de GMD'!$B$4:$B$19,C96)</x:f>
        <x:v>0.2659090909090909</x:v>
      </x:c>
      <x:c r="N96" s="23" t="n">
        <x:f>((H96+I96)/2)*SUMIFS('Cenários de GMD'!$E$4:$E$19,'Cenários de GMD'!$A$4:$A$19,B96,'Cenários de GMD'!$B$4:$B$19,C96)</x:f>
        <x:v>0.7977272727272726</x:v>
      </x:c>
      <x:c r="O96" s="21" t="n">
        <x:f>M96*Insumos!$E$4+N96*Insumos!$E$5</x:f>
        <x:v>2.3894590909090905</x:v>
      </x:c>
      <x:c r="P96" s="21" t="n">
        <x:f>O96*Premissas!$B$7</x:f>
        <x:v>71.68377272727271</x:v>
      </x:c>
      <x:c r="Q96" s="21" t="n">
        <x:f>O96*L96</x:f>
        <x:v>244.37649793388408</x:v>
      </x:c>
      <x:c r="R96" s="21" t="n">
        <x:f>Premissas!$B$7*Premissas!$B$8*L96</x:f>
        <x:v>0</x:v>
      </x:c>
      <x:c r="S96" s="21" t="n">
        <x:f>D96*E96</x:f>
        <x:v>3465</x:v>
      </x:c>
      <x:c r="T96" s="21" t="n">
        <x:f>S96*F96</x:f>
        <x:v>58905</x:v>
      </x:c>
      <x:c r="U96" s="21" t="n">
        <x:f>S96-XLOOKUP(A96,Lotes!$A$4:$A$8,Lotes!$D$4:$D$8,Premissas!$B$9)-Q96-R96</x:f>
        <x:v>1270.6235020661159</x:v>
      </x:c>
      <x:c r="V96" s="21" t="n">
        <x:f>U96*F96</x:f>
        <x:v>21600.59953512397</x:v>
      </x:c>
      <x:c r="W96" s="20" t="n">
        <x:f>IF(S96=0,0,U96/S96)</x:f>
        <x:v>0.36670230939859044</x:v>
      </x:c>
      <x:c r="X96" s="21" t="n">
        <x:f>IF(D96-G96&lt;=0,0,Q96/(D96-G96))</x:f>
        <x:v>162.91766528925606</x:v>
      </x:c>
      <x:c r="Y96" s="20" t="n">
        <x:f>IFERROR(U96/(XLOOKUP(A96,Lotes!$A$4:$A$8,Lotes!$D$4:$D$8,Premissas!$B$9)+Q96+R96),0)</x:f>
        <x:v>0.5790362334186827</x:v>
      </x:c>
      <x:c r="Z96" s="20" t="n">
        <x:f>IF(L96=0,Y96,Y96/MAX(1,L96/Premissas!$B$7))</x:f>
        <x:v>0.1698506284694804</x:v>
      </x:c>
      <x:c r="AA96" s="19" t="str">
        <x:f>IF(L96=0,"Venda imediata",IF(L96&lt;=60,"Baixo",IF(L96&lt;=120,"Médio","Alto")))</x:f>
        <x:v>Médio</x:v>
      </x:c>
      <x:c r="AB96" s="19" t="str">
        <x:f>IF(U96&lt;0,"Não fazer",IF(AA96="Alto","Risco seca",IF(Z96&gt;=0.03,"Bom giro","Margem ok")))</x:f>
        <x:v>Bom giro</x:v>
      </x:c>
    </x:row>
    <x:row r="97">
      <x:c r="A97" s="19" t="str">
        <x:v>Lote maior - otimista 9@</x:v>
      </x:c>
      <x:c r="B97" s="19" t="str">
        <x:v>Econômica</x:v>
      </x:c>
      <x:c r="C97" s="19" t="str">
        <x:v>Conservador</x:v>
      </x:c>
      <x:c r="D97" s="19" t="n">
        <x:v>11</x:v>
      </x:c>
      <x:c r="E97" s="21" t="n">
        <x:f>Premissas!$B$6</x:f>
        <x:v>330</x:v>
      </x:c>
      <x:c r="F97" s="19" t="n">
        <x:f>XLOOKUP(A97,Lotes!$A$4:$A$8,Lotes!$B$4:$B$8,0)</x:f>
        <x:v>17</x:v>
      </x:c>
      <x:c r="G97" s="23" t="n">
        <x:f>XLOOKUP(A97,Lotes!$A$4:$A$8,Lotes!$C$4:$C$8,0)</x:f>
        <x:v>9</x:v>
      </x:c>
      <x:c r="H97" s="23" t="n">
        <x:f>G97*Premissas!$B$5/Premissas!$B$4</x:f>
        <x:v>245.45454545454544</x:v>
      </x:c>
      <x:c r="I97" s="23" t="n">
        <x:f>D97*Premissas!$B$5/Premissas!$B$4</x:f>
        <x:v>300</x:v>
      </x:c>
      <x:c r="J97" s="23" t="n">
        <x:f>MAX(0,I97-H97)</x:f>
        <x:v>54.54545454545456</x:v>
      </x:c>
      <x:c r="K97" s="23" t="n">
        <x:f>SUMIFS('Cenários de GMD'!$C$4:$C$19,'Cenários de GMD'!$A$4:$A$19,B97,'Cenários de GMD'!$B$4:$B$19,C97)</x:f>
        <x:v>0.4</x:v>
      </x:c>
      <x:c r="L97" s="23" t="n">
        <x:f>IF(J97=0,0,J97/K97)</x:f>
        <x:v>136.3636363636364</x:v>
      </x:c>
      <x:c r="M97" s="23" t="n">
        <x:f>((H97+I97)/2)*SUMIFS('Cenários de GMD'!$D$4:$D$19,'Cenários de GMD'!$A$4:$A$19,B97,'Cenários de GMD'!$B$4:$B$19,C97)</x:f>
        <x:v>0.27272727272727276</x:v>
      </x:c>
      <x:c r="N97" s="23" t="n">
        <x:f>((H97+I97)/2)*SUMIFS('Cenários de GMD'!$E$4:$E$19,'Cenários de GMD'!$A$4:$A$19,B97,'Cenários de GMD'!$B$4:$B$19,C97)</x:f>
        <x:v>0.8181818181818182</x:v>
      </x:c>
      <x:c r="O97" s="21" t="n">
        <x:f>M97*Insumos!$E$4+N97*Insumos!$E$5</x:f>
        <x:v>2.450727272727273</x:v>
      </x:c>
      <x:c r="P97" s="21" t="n">
        <x:f>O97*Premissas!$B$7</x:f>
        <x:v>73.52181818181819</x:v>
      </x:c>
      <x:c r="Q97" s="21" t="n">
        <x:f>O97*L97</x:f>
        <x:v>334.1900826446282</x:v>
      </x:c>
      <x:c r="R97" s="21" t="n">
        <x:f>Premissas!$B$7*Premissas!$B$8*L97</x:f>
        <x:v>0</x:v>
      </x:c>
      <x:c r="S97" s="21" t="n">
        <x:f>D97*E97</x:f>
        <x:v>3630</x:v>
      </x:c>
      <x:c r="T97" s="21" t="n">
        <x:f>S97*F97</x:f>
        <x:v>61710</x:v>
      </x:c>
      <x:c r="U97" s="21" t="n">
        <x:f>S97-XLOOKUP(A97,Lotes!$A$4:$A$8,Lotes!$D$4:$D$8,Premissas!$B$9)-Q97-R97</x:f>
        <x:v>1345.809917355372</x:v>
      </x:c>
      <x:c r="V97" s="21" t="n">
        <x:f>U97*F97</x:f>
        <x:v>22878.76859504132</x:v>
      </x:c>
      <x:c r="W97" s="20" t="n">
        <x:f>IF(S97=0,0,U97/S97)</x:f>
        <x:v>0.370746533706714</x:v>
      </x:c>
      <x:c r="X97" s="21" t="n">
        <x:f>IF(D97-G97&lt;=0,0,Q97/(D97-G97))</x:f>
        <x:v>167.0950413223141</x:v>
      </x:c>
      <x:c r="Y97" s="20" t="n">
        <x:f>IFERROR(U97/(XLOOKUP(A97,Lotes!$A$4:$A$8,Lotes!$D$4:$D$8,Premissas!$B$9)+Q97+R97),0)</x:f>
        <x:v>0.5891847301066983</x:v>
      </x:c>
      <x:c r="Z97" s="20" t="n">
        <x:f>IF(L97=0,Y97,Y97/MAX(1,L97/Premissas!$B$7))</x:f>
        <x:v>0.1296206406234736</x:v>
      </x:c>
      <x:c r="AA97" s="19" t="str">
        <x:f>IF(L97=0,"Venda imediata",IF(L97&lt;=60,"Baixo",IF(L97&lt;=120,"Médio","Alto")))</x:f>
        <x:v>Alto</x:v>
      </x:c>
      <x:c r="AB97" s="19" t="str">
        <x:f>IF(U97&lt;0,"Não fazer",IF(AA97="Alto","Risco seca",IF(Z97&gt;=0.03,"Bom giro","Margem ok")))</x:f>
        <x:v>Risco seca</x:v>
      </x:c>
    </x:row>
    <x:row r="98">
      <x:c r="A98" s="19" t="str">
        <x:v>Lote maior - otimista 9@</x:v>
      </x:c>
      <x:c r="B98" s="19" t="str">
        <x:v>Econômica</x:v>
      </x:c>
      <x:c r="C98" s="19" t="str">
        <x:v>Conservador</x:v>
      </x:c>
      <x:c r="D98" s="19" t="n">
        <x:v>12</x:v>
      </x:c>
      <x:c r="E98" s="21" t="n">
        <x:f>Premissas!$B$6</x:f>
        <x:v>330</x:v>
      </x:c>
      <x:c r="F98" s="19" t="n">
        <x:f>XLOOKUP(A98,Lotes!$A$4:$A$8,Lotes!$B$4:$B$8,0)</x:f>
        <x:v>17</x:v>
      </x:c>
      <x:c r="G98" s="23" t="n">
        <x:f>XLOOKUP(A98,Lotes!$A$4:$A$8,Lotes!$C$4:$C$8,0)</x:f>
        <x:v>9</x:v>
      </x:c>
      <x:c r="H98" s="23" t="n">
        <x:f>G98*Premissas!$B$5/Premissas!$B$4</x:f>
        <x:v>245.45454545454544</x:v>
      </x:c>
      <x:c r="I98" s="23" t="n">
        <x:f>D98*Premissas!$B$5/Premissas!$B$4</x:f>
        <x:v>327.27272727272725</x:v>
      </x:c>
      <x:c r="J98" s="23" t="n">
        <x:f>MAX(0,I98-H98)</x:f>
        <x:v>81.81818181818181</x:v>
      </x:c>
      <x:c r="K98" s="23" t="n">
        <x:f>SUMIFS('Cenários de GMD'!$C$4:$C$19,'Cenários de GMD'!$A$4:$A$19,B98,'Cenários de GMD'!$B$4:$B$19,C98)</x:f>
        <x:v>0.4</x:v>
      </x:c>
      <x:c r="L98" s="23" t="n">
        <x:f>IF(J98=0,0,J98/K98)</x:f>
        <x:v>204.54545454545453</x:v>
      </x:c>
      <x:c r="M98" s="23" t="n">
        <x:f>((H98+I98)/2)*SUMIFS('Cenários de GMD'!$D$4:$D$19,'Cenários de GMD'!$A$4:$A$19,B98,'Cenários de GMD'!$B$4:$B$19,C98)</x:f>
        <x:v>0.2863636363636364</x:v>
      </x:c>
      <x:c r="N98" s="23" t="n">
        <x:f>((H98+I98)/2)*SUMIFS('Cenários de GMD'!$E$4:$E$19,'Cenários de GMD'!$A$4:$A$19,B98,'Cenários de GMD'!$B$4:$B$19,C98)</x:f>
        <x:v>0.8590909090909091</x:v>
      </x:c>
      <x:c r="O98" s="21" t="n">
        <x:f>M98*Insumos!$E$4+N98*Insumos!$E$5</x:f>
        <x:v>2.5732636363636368</x:v>
      </x:c>
      <x:c r="P98" s="21" t="n">
        <x:f>O98*Premissas!$B$7</x:f>
        <x:v>77.1979090909091</x:v>
      </x:c>
      <x:c r="Q98" s="21" t="n">
        <x:f>O98*L98</x:f>
        <x:v>526.3493801652893</x:v>
      </x:c>
      <x:c r="R98" s="21" t="n">
        <x:f>Premissas!$B$7*Premissas!$B$8*L98</x:f>
        <x:v>0</x:v>
      </x:c>
      <x:c r="S98" s="21" t="n">
        <x:f>D98*E98</x:f>
        <x:v>3960</x:v>
      </x:c>
      <x:c r="T98" s="21" t="n">
        <x:f>S98*F98</x:f>
        <x:v>67320</x:v>
      </x:c>
      <x:c r="U98" s="21" t="n">
        <x:f>S98-XLOOKUP(A98,Lotes!$A$4:$A$8,Lotes!$D$4:$D$8,Premissas!$B$9)-Q98-R98</x:f>
        <x:v>1483.6506198347106</x:v>
      </x:c>
      <x:c r="V98" s="21" t="n">
        <x:f>U98*F98</x:f>
        <x:v>25222.060537190082</x:v>
      </x:c>
      <x:c r="W98" s="20" t="n">
        <x:f>IF(S98=0,0,U98/S98)</x:f>
        <x:v>0.3746592474330077</x:v>
      </x:c>
      <x:c r="X98" s="21" t="n">
        <x:f>IF(D98-G98&lt;=0,0,Q98/(D98-G98))</x:f>
        <x:v>175.44979338842975</x:v>
      </x:c>
      <x:c r="Y98" s="20" t="n">
        <x:f>IFERROR(U98/(XLOOKUP(A98,Lotes!$A$4:$A$8,Lotes!$D$4:$D$8,Premissas!$B$9)+Q98+R98),0)</x:f>
        <x:v>0.5991281487653738</x:v>
      </x:c>
      <x:c r="Z98" s="20" t="n">
        <x:f>IF(L98=0,Y98,Y98/MAX(1,L98/Premissas!$B$7))</x:f>
        <x:v>0.08787212848558816</x:v>
      </x:c>
      <x:c r="AA98" s="19" t="str">
        <x:f>IF(L98=0,"Venda imediata",IF(L98&lt;=60,"Baixo",IF(L98&lt;=120,"Médio","Alto")))</x:f>
        <x:v>Alto</x:v>
      </x:c>
      <x:c r="AB98" s="19" t="str">
        <x:f>IF(U98&lt;0,"Não fazer",IF(AA98="Alto","Risco seca",IF(Z98&gt;=0.03,"Bom giro","Margem ok")))</x:f>
        <x:v>Risco seca</x:v>
      </x:c>
    </x:row>
    <x:row r="99">
      <x:c r="A99" s="19" t="str">
        <x:v>Lote maior - otimista 9@</x:v>
      </x:c>
      <x:c r="B99" s="19" t="str">
        <x:v>Econômica</x:v>
      </x:c>
      <x:c r="C99" s="19" t="str">
        <x:v>Base</x:v>
      </x:c>
      <x:c r="D99" s="19" t="n">
        <x:v>8.5</x:v>
      </x:c>
      <x:c r="E99" s="21" t="n">
        <x:f>Premissas!$B$6</x:f>
        <x:v>330</x:v>
      </x:c>
      <x:c r="F99" s="19" t="n">
        <x:f>XLOOKUP(A99,Lotes!$A$4:$A$8,Lotes!$B$4:$B$8,0)</x:f>
        <x:v>17</x:v>
      </x:c>
      <x:c r="G99" s="23" t="n">
        <x:f>XLOOKUP(A99,Lotes!$A$4:$A$8,Lotes!$C$4:$C$8,0)</x:f>
        <x:v>9</x:v>
      </x:c>
      <x:c r="H99" s="23" t="n">
        <x:f>G99*Premissas!$B$5/Premissas!$B$4</x:f>
        <x:v>245.45454545454544</x:v>
      </x:c>
      <x:c r="I99" s="23" t="n">
        <x:f>D99*Premissas!$B$5/Premissas!$B$4</x:f>
        <x:v>231.8181818181818</x:v>
      </x:c>
      <x:c r="J99" s="23" t="n">
        <x:f>MAX(0,I99-H99)</x:f>
        <x:v>0</x:v>
      </x:c>
      <x:c r="K99" s="23" t="n">
        <x:f>SUMIFS('Cenários de GMD'!$C$4:$C$19,'Cenários de GMD'!$A$4:$A$19,B99,'Cenários de GMD'!$B$4:$B$19,C99)</x:f>
        <x:v>0.5</x:v>
      </x:c>
      <x:c r="L99" s="23" t="n">
        <x:f>IF(J99=0,0,J99/K99)</x:f>
        <x:v>0</x:v>
      </x:c>
      <x:c r="M99" s="23" t="n">
        <x:f>((H99+I99)/2)*SUMIFS('Cenários de GMD'!$D$4:$D$19,'Cenários de GMD'!$A$4:$A$19,B99,'Cenários de GMD'!$B$4:$B$19,C99)</x:f>
        <x:v>0.23863636363636362</x:v>
      </x:c>
      <x:c r="N99" s="23" t="n">
        <x:f>((H99+I99)/2)*SUMIFS('Cenários de GMD'!$E$4:$E$19,'Cenários de GMD'!$A$4:$A$19,B99,'Cenários de GMD'!$B$4:$B$19,C99)</x:f>
        <x:v>0.7159090909090909</x:v>
      </x:c>
      <x:c r="O99" s="21" t="n">
        <x:f>M99*Insumos!$E$4+N99*Insumos!$E$5</x:f>
        <x:v>2.1443863636363636</x:v>
      </x:c>
      <x:c r="P99" s="21" t="n">
        <x:f>O99*Premissas!$B$7</x:f>
        <x:v>64.3315909090909</x:v>
      </x:c>
      <x:c r="Q99" s="21" t="n">
        <x:f>O99*L99</x:f>
        <x:v>0</x:v>
      </x:c>
      <x:c r="R99" s="21" t="n">
        <x:f>Premissas!$B$7*Premissas!$B$8*L99</x:f>
        <x:v>0</x:v>
      </x:c>
      <x:c r="S99" s="21" t="n">
        <x:f>D99*E99</x:f>
        <x:v>2805</x:v>
      </x:c>
      <x:c r="T99" s="21" t="n">
        <x:f>S99*F99</x:f>
        <x:v>47685</x:v>
      </x:c>
      <x:c r="U99" s="21" t="n">
        <x:f>S99-XLOOKUP(A99,Lotes!$A$4:$A$8,Lotes!$D$4:$D$8,Premissas!$B$9)-Q99-R99</x:f>
        <x:v>855</x:v>
      </x:c>
      <x:c r="V99" s="21" t="n">
        <x:f>U99*F99</x:f>
        <x:v>14535</x:v>
      </x:c>
      <x:c r="W99" s="20" t="n">
        <x:f>IF(S99=0,0,U99/S99)</x:f>
        <x:v>0.3048128342245989</x:v>
      </x:c>
      <x:c r="X99" s="21" t="n">
        <x:f>IF(D99-G99&lt;=0,0,Q99/(D99-G99))</x:f>
        <x:v>0</x:v>
      </x:c>
      <x:c r="Y99" s="20" t="n">
        <x:f>IFERROR(U99/(XLOOKUP(A99,Lotes!$A$4:$A$8,Lotes!$D$4:$D$8,Premissas!$B$9)+Q99+R99),0)</x:f>
        <x:v>0.43846153846153846</x:v>
      </x:c>
      <x:c r="Z99" s="20" t="n">
        <x:f>IF(L99=0,Y99,Y99/MAX(1,L99/Premissas!$B$7))</x:f>
        <x:v>0.43846153846153846</x:v>
      </x:c>
      <x:c r="AA99" s="19" t="str">
        <x:f>IF(L99=0,"Venda imediata",IF(L99&lt;=60,"Baixo",IF(L99&lt;=120,"Médio","Alto")))</x:f>
        <x:v>Venda imediata</x:v>
      </x:c>
      <x:c r="AB99" s="19" t="str">
        <x:f>IF(U99&lt;0,"Não fazer",IF(AA99="Alto","Risco seca",IF(Z99&gt;=0.03,"Bom giro","Margem ok")))</x:f>
        <x:v>Bom giro</x:v>
      </x:c>
    </x:row>
    <x:row r="100">
      <x:c r="A100" s="19" t="str">
        <x:v>Lote maior - otimista 9@</x:v>
      </x:c>
      <x:c r="B100" s="19" t="str">
        <x:v>Econômica</x:v>
      </x:c>
      <x:c r="C100" s="19" t="str">
        <x:v>Base</x:v>
      </x:c>
      <x:c r="D100" s="19" t="n">
        <x:v>9</x:v>
      </x:c>
      <x:c r="E100" s="21" t="n">
        <x:f>Premissas!$B$6</x:f>
        <x:v>330</x:v>
      </x:c>
      <x:c r="F100" s="19" t="n">
        <x:f>XLOOKUP(A100,Lotes!$A$4:$A$8,Lotes!$B$4:$B$8,0)</x:f>
        <x:v>17</x:v>
      </x:c>
      <x:c r="G100" s="23" t="n">
        <x:f>XLOOKUP(A100,Lotes!$A$4:$A$8,Lotes!$C$4:$C$8,0)</x:f>
        <x:v>9</x:v>
      </x:c>
      <x:c r="H100" s="23" t="n">
        <x:f>G100*Premissas!$B$5/Premissas!$B$4</x:f>
        <x:v>245.45454545454544</x:v>
      </x:c>
      <x:c r="I100" s="23" t="n">
        <x:f>D100*Premissas!$B$5/Premissas!$B$4</x:f>
        <x:v>245.45454545454544</x:v>
      </x:c>
      <x:c r="J100" s="23" t="n">
        <x:f>MAX(0,I100-H100)</x:f>
        <x:v>0</x:v>
      </x:c>
      <x:c r="K100" s="23" t="n">
        <x:f>SUMIFS('Cenários de GMD'!$C$4:$C$19,'Cenários de GMD'!$A$4:$A$19,B100,'Cenários de GMD'!$B$4:$B$19,C100)</x:f>
        <x:v>0.5</x:v>
      </x:c>
      <x:c r="L100" s="23" t="n">
        <x:f>IF(J100=0,0,J100/K100)</x:f>
        <x:v>0</x:v>
      </x:c>
      <x:c r="M100" s="23" t="n">
        <x:f>((H100+I100)/2)*SUMIFS('Cenários de GMD'!$D$4:$D$19,'Cenários de GMD'!$A$4:$A$19,B100,'Cenários de GMD'!$B$4:$B$19,C100)</x:f>
        <x:v>0.24545454545454545</x:v>
      </x:c>
      <x:c r="N100" s="23" t="n">
        <x:f>((H100+I100)/2)*SUMIFS('Cenários de GMD'!$E$4:$E$19,'Cenários de GMD'!$A$4:$A$19,B100,'Cenários de GMD'!$B$4:$B$19,C100)</x:f>
        <x:v>0.7363636363636363</x:v>
      </x:c>
      <x:c r="O100" s="21" t="n">
        <x:f>M100*Insumos!$E$4+N100*Insumos!$E$5</x:f>
        <x:v>2.2056545454545455</x:v>
      </x:c>
      <x:c r="P100" s="21" t="n">
        <x:f>O100*Premissas!$B$7</x:f>
        <x:v>66.16963636363637</x:v>
      </x:c>
      <x:c r="Q100" s="21" t="n">
        <x:f>O100*L100</x:f>
        <x:v>0</x:v>
      </x:c>
      <x:c r="R100" s="21" t="n">
        <x:f>Premissas!$B$7*Premissas!$B$8*L100</x:f>
        <x:v>0</x:v>
      </x:c>
      <x:c r="S100" s="21" t="n">
        <x:f>D100*E100</x:f>
        <x:v>2970</x:v>
      </x:c>
      <x:c r="T100" s="21" t="n">
        <x:f>S100*F100</x:f>
        <x:v>50490</x:v>
      </x:c>
      <x:c r="U100" s="21" t="n">
        <x:f>S100-XLOOKUP(A100,Lotes!$A$4:$A$8,Lotes!$D$4:$D$8,Premissas!$B$9)-Q100-R100</x:f>
        <x:v>1020</x:v>
      </x:c>
      <x:c r="V100" s="21" t="n">
        <x:f>U100*F100</x:f>
        <x:v>17340</x:v>
      </x:c>
      <x:c r="W100" s="20" t="n">
        <x:f>IF(S100=0,0,U100/S100)</x:f>
        <x:v>0.3434343434343434</x:v>
      </x:c>
      <x:c r="X100" s="21" t="n">
        <x:f>IF(D100-G100&lt;=0,0,Q100/(D100-G100))</x:f>
        <x:v>0</x:v>
      </x:c>
      <x:c r="Y100" s="20" t="n">
        <x:f>IFERROR(U100/(XLOOKUP(A100,Lotes!$A$4:$A$8,Lotes!$D$4:$D$8,Premissas!$B$9)+Q100+R100),0)</x:f>
        <x:v>0.5230769230769231</x:v>
      </x:c>
      <x:c r="Z100" s="20" t="n">
        <x:f>IF(L100=0,Y100,Y100/MAX(1,L100/Premissas!$B$7))</x:f>
        <x:v>0.5230769230769231</x:v>
      </x:c>
      <x:c r="AA100" s="19" t="str">
        <x:f>IF(L100=0,"Venda imediata",IF(L100&lt;=60,"Baixo",IF(L100&lt;=120,"Médio","Alto")))</x:f>
        <x:v>Venda imediata</x:v>
      </x:c>
      <x:c r="AB100" s="19" t="str">
        <x:f>IF(U100&lt;0,"Não fazer",IF(AA100="Alto","Risco seca",IF(Z100&gt;=0.03,"Bom giro","Margem ok")))</x:f>
        <x:v>Bom giro</x:v>
      </x:c>
    </x:row>
    <x:row r="101">
      <x:c r="A101" s="19" t="str">
        <x:v>Lote maior - otimista 9@</x:v>
      </x:c>
      <x:c r="B101" s="19" t="str">
        <x:v>Econômica</x:v>
      </x:c>
      <x:c r="C101" s="19" t="str">
        <x:v>Base</x:v>
      </x:c>
      <x:c r="D101" s="19" t="n">
        <x:v>10.5</x:v>
      </x:c>
      <x:c r="E101" s="21" t="n">
        <x:f>Premissas!$B$6</x:f>
        <x:v>330</x:v>
      </x:c>
      <x:c r="F101" s="19" t="n">
        <x:f>XLOOKUP(A101,Lotes!$A$4:$A$8,Lotes!$B$4:$B$8,0)</x:f>
        <x:v>17</x:v>
      </x:c>
      <x:c r="G101" s="23" t="n">
        <x:f>XLOOKUP(A101,Lotes!$A$4:$A$8,Lotes!$C$4:$C$8,0)</x:f>
        <x:v>9</x:v>
      </x:c>
      <x:c r="H101" s="23" t="n">
        <x:f>G101*Premissas!$B$5/Premissas!$B$4</x:f>
        <x:v>245.45454545454544</x:v>
      </x:c>
      <x:c r="I101" s="23" t="n">
        <x:f>D101*Premissas!$B$5/Premissas!$B$4</x:f>
        <x:v>286.3636363636363</x:v>
      </x:c>
      <x:c r="J101" s="23" t="n">
        <x:f>MAX(0,I101-H101)</x:f>
        <x:v>40.90909090909088</x:v>
      </x:c>
      <x:c r="K101" s="23" t="n">
        <x:f>SUMIFS('Cenários de GMD'!$C$4:$C$19,'Cenários de GMD'!$A$4:$A$19,B101,'Cenários de GMD'!$B$4:$B$19,C101)</x:f>
        <x:v>0.5</x:v>
      </x:c>
      <x:c r="L101" s="23" t="n">
        <x:f>IF(J101=0,0,J101/K101)</x:f>
        <x:v>81.81818181818176</x:v>
      </x:c>
      <x:c r="M101" s="23" t="n">
        <x:f>((H101+I101)/2)*SUMIFS('Cenários de GMD'!$D$4:$D$19,'Cenários de GMD'!$A$4:$A$19,B101,'Cenários de GMD'!$B$4:$B$19,C101)</x:f>
        <x:v>0.2659090909090909</x:v>
      </x:c>
      <x:c r="N101" s="23" t="n">
        <x:f>((H101+I101)/2)*SUMIFS('Cenários de GMD'!$E$4:$E$19,'Cenários de GMD'!$A$4:$A$19,B101,'Cenários de GMD'!$B$4:$B$19,C101)</x:f>
        <x:v>0.7977272727272726</x:v>
      </x:c>
      <x:c r="O101" s="21" t="n">
        <x:f>M101*Insumos!$E$4+N101*Insumos!$E$5</x:f>
        <x:v>2.3894590909090905</x:v>
      </x:c>
      <x:c r="P101" s="21" t="n">
        <x:f>O101*Premissas!$B$7</x:f>
        <x:v>71.68377272727271</x:v>
      </x:c>
      <x:c r="Q101" s="21" t="n">
        <x:f>O101*L101</x:f>
        <x:v>195.50119834710725</x:v>
      </x:c>
      <x:c r="R101" s="21" t="n">
        <x:f>Premissas!$B$7*Premissas!$B$8*L101</x:f>
        <x:v>0</x:v>
      </x:c>
      <x:c r="S101" s="21" t="n">
        <x:f>D101*E101</x:f>
        <x:v>3465</x:v>
      </x:c>
      <x:c r="T101" s="21" t="n">
        <x:f>S101*F101</x:f>
        <x:v>58905</x:v>
      </x:c>
      <x:c r="U101" s="21" t="n">
        <x:f>S101-XLOOKUP(A101,Lotes!$A$4:$A$8,Lotes!$D$4:$D$8,Premissas!$B$9)-Q101-R101</x:f>
        <x:v>1319.4988016528928</x:v>
      </x:c>
      <x:c r="V101" s="21" t="n">
        <x:f>U101*F101</x:f>
        <x:v>22431.479628099176</x:v>
      </x:c>
      <x:c r="W101" s="20" t="n">
        <x:f>IF(S101=0,0,U101/S101)</x:f>
        <x:v>0.38080773496475984</x:v>
      </x:c>
      <x:c r="X101" s="21" t="n">
        <x:f>IF(D101-G101&lt;=0,0,Q101/(D101-G101))</x:f>
        <x:v>130.33413223140482</x:v>
      </x:c>
      <x:c r="Y101" s="20" t="n">
        <x:f>IFERROR(U101/(XLOOKUP(A101,Lotes!$A$4:$A$8,Lotes!$D$4:$D$8,Premissas!$B$9)+Q101+R101),0)</x:f>
        <x:v>0.615007254561048</x:v>
      </x:c>
      <x:c r="Z101" s="20" t="n">
        <x:f>IF(L101=0,Y101,Y101/MAX(1,L101/Premissas!$B$7))</x:f>
        <x:v>0.22550266000571775</x:v>
      </x:c>
      <x:c r="AA101" s="19" t="str">
        <x:f>IF(L101=0,"Venda imediata",IF(L101&lt;=60,"Baixo",IF(L101&lt;=120,"Médio","Alto")))</x:f>
        <x:v>Médio</x:v>
      </x:c>
      <x:c r="AB101" s="19" t="str">
        <x:f>IF(U101&lt;0,"Não fazer",IF(AA101="Alto","Risco seca",IF(Z101&gt;=0.03,"Bom giro","Margem ok")))</x:f>
        <x:v>Bom giro</x:v>
      </x:c>
    </x:row>
    <x:row r="102">
      <x:c r="A102" s="19" t="str">
        <x:v>Lote maior - otimista 9@</x:v>
      </x:c>
      <x:c r="B102" s="19" t="str">
        <x:v>Econômica</x:v>
      </x:c>
      <x:c r="C102" s="19" t="str">
        <x:v>Base</x:v>
      </x:c>
      <x:c r="D102" s="19" t="n">
        <x:v>11</x:v>
      </x:c>
      <x:c r="E102" s="21" t="n">
        <x:f>Premissas!$B$6</x:f>
        <x:v>330</x:v>
      </x:c>
      <x:c r="F102" s="19" t="n">
        <x:f>XLOOKUP(A102,Lotes!$A$4:$A$8,Lotes!$B$4:$B$8,0)</x:f>
        <x:v>17</x:v>
      </x:c>
      <x:c r="G102" s="23" t="n">
        <x:f>XLOOKUP(A102,Lotes!$A$4:$A$8,Lotes!$C$4:$C$8,0)</x:f>
        <x:v>9</x:v>
      </x:c>
      <x:c r="H102" s="23" t="n">
        <x:f>G102*Premissas!$B$5/Premissas!$B$4</x:f>
        <x:v>245.45454545454544</x:v>
      </x:c>
      <x:c r="I102" s="23" t="n">
        <x:f>D102*Premissas!$B$5/Premissas!$B$4</x:f>
        <x:v>300</x:v>
      </x:c>
      <x:c r="J102" s="23" t="n">
        <x:f>MAX(0,I102-H102)</x:f>
        <x:v>54.54545454545456</x:v>
      </x:c>
      <x:c r="K102" s="23" t="n">
        <x:f>SUMIFS('Cenários de GMD'!$C$4:$C$19,'Cenários de GMD'!$A$4:$A$19,B102,'Cenários de GMD'!$B$4:$B$19,C102)</x:f>
        <x:v>0.5</x:v>
      </x:c>
      <x:c r="L102" s="23" t="n">
        <x:f>IF(J102=0,0,J102/K102)</x:f>
        <x:v>109.09090909090912</x:v>
      </x:c>
      <x:c r="M102" s="23" t="n">
        <x:f>((H102+I102)/2)*SUMIFS('Cenários de GMD'!$D$4:$D$19,'Cenários de GMD'!$A$4:$A$19,B102,'Cenários de GMD'!$B$4:$B$19,C102)</x:f>
        <x:v>0.27272727272727276</x:v>
      </x:c>
      <x:c r="N102" s="23" t="n">
        <x:f>((H102+I102)/2)*SUMIFS('Cenários de GMD'!$E$4:$E$19,'Cenários de GMD'!$A$4:$A$19,B102,'Cenários de GMD'!$B$4:$B$19,C102)</x:f>
        <x:v>0.8181818181818182</x:v>
      </x:c>
      <x:c r="O102" s="21" t="n">
        <x:f>M102*Insumos!$E$4+N102*Insumos!$E$5</x:f>
        <x:v>2.450727272727273</x:v>
      </x:c>
      <x:c r="P102" s="21" t="n">
        <x:f>O102*Premissas!$B$7</x:f>
        <x:v>73.52181818181819</x:v>
      </x:c>
      <x:c r="Q102" s="21" t="n">
        <x:f>O102*L102</x:f>
        <x:v>267.3520661157026</x:v>
      </x:c>
      <x:c r="R102" s="21" t="n">
        <x:f>Premissas!$B$7*Premissas!$B$8*L102</x:f>
        <x:v>0</x:v>
      </x:c>
      <x:c r="S102" s="21" t="n">
        <x:f>D102*E102</x:f>
        <x:v>3630</x:v>
      </x:c>
      <x:c r="T102" s="21" t="n">
        <x:f>S102*F102</x:f>
        <x:v>61710</x:v>
      </x:c>
      <x:c r="U102" s="21" t="n">
        <x:f>S102-XLOOKUP(A102,Lotes!$A$4:$A$8,Lotes!$D$4:$D$8,Premissas!$B$9)-Q102-R102</x:f>
        <x:v>1412.6479338842973</x:v>
      </x:c>
      <x:c r="V102" s="21" t="n">
        <x:f>U102*F102</x:f>
        <x:v>24015.014876033056</x:v>
      </x:c>
      <x:c r="W102" s="20" t="n">
        <x:f>IF(S102=0,0,U102/S102)</x:f>
        <x:v>0.3891592104364455</x:v>
      </x:c>
      <x:c r="X102" s="21" t="n">
        <x:f>IF(D102-G102&lt;=0,0,Q102/(D102-G102))</x:f>
        <x:v>133.6760330578513</x:v>
      </x:c>
      <x:c r="Y102" s="20" t="n">
        <x:f>IFERROR(U102/(XLOOKUP(A102,Lotes!$A$4:$A$8,Lotes!$D$4:$D$8,Premissas!$B$9)+Q102+R102),0)</x:f>
        <x:v>0.6370877929001757</x:v>
      </x:c>
      <x:c r="Z102" s="20" t="n">
        <x:f>IF(L102=0,Y102,Y102/MAX(1,L102/Premissas!$B$7))</x:f>
        <x:v>0.17519914304754824</x:v>
      </x:c>
      <x:c r="AA102" s="19" t="str">
        <x:f>IF(L102=0,"Venda imediata",IF(L102&lt;=60,"Baixo",IF(L102&lt;=120,"Médio","Alto")))</x:f>
        <x:v>Médio</x:v>
      </x:c>
      <x:c r="AB102" s="19" t="str">
        <x:f>IF(U102&lt;0,"Não fazer",IF(AA102="Alto","Risco seca",IF(Z102&gt;=0.03,"Bom giro","Margem ok")))</x:f>
        <x:v>Bom giro</x:v>
      </x:c>
    </x:row>
    <x:row r="103">
      <x:c r="A103" s="19" t="str">
        <x:v>Lote maior - otimista 9@</x:v>
      </x:c>
      <x:c r="B103" s="19" t="str">
        <x:v>Econômica</x:v>
      </x:c>
      <x:c r="C103" s="19" t="str">
        <x:v>Base</x:v>
      </x:c>
      <x:c r="D103" s="19" t="n">
        <x:v>12</x:v>
      </x:c>
      <x:c r="E103" s="21" t="n">
        <x:f>Premissas!$B$6</x:f>
        <x:v>330</x:v>
      </x:c>
      <x:c r="F103" s="19" t="n">
        <x:f>XLOOKUP(A103,Lotes!$A$4:$A$8,Lotes!$B$4:$B$8,0)</x:f>
        <x:v>17</x:v>
      </x:c>
      <x:c r="G103" s="23" t="n">
        <x:f>XLOOKUP(A103,Lotes!$A$4:$A$8,Lotes!$C$4:$C$8,0)</x:f>
        <x:v>9</x:v>
      </x:c>
      <x:c r="H103" s="23" t="n">
        <x:f>G103*Premissas!$B$5/Premissas!$B$4</x:f>
        <x:v>245.45454545454544</x:v>
      </x:c>
      <x:c r="I103" s="23" t="n">
        <x:f>D103*Premissas!$B$5/Premissas!$B$4</x:f>
        <x:v>327.27272727272725</x:v>
      </x:c>
      <x:c r="J103" s="23" t="n">
        <x:f>MAX(0,I103-H103)</x:f>
        <x:v>81.81818181818181</x:v>
      </x:c>
      <x:c r="K103" s="23" t="n">
        <x:f>SUMIFS('Cenários de GMD'!$C$4:$C$19,'Cenários de GMD'!$A$4:$A$19,B103,'Cenários de GMD'!$B$4:$B$19,C103)</x:f>
        <x:v>0.5</x:v>
      </x:c>
      <x:c r="L103" s="23" t="n">
        <x:f>IF(J103=0,0,J103/K103)</x:f>
        <x:v>163.63636363636363</x:v>
      </x:c>
      <x:c r="M103" s="23" t="n">
        <x:f>((H103+I103)/2)*SUMIFS('Cenários de GMD'!$D$4:$D$19,'Cenários de GMD'!$A$4:$A$19,B103,'Cenários de GMD'!$B$4:$B$19,C103)</x:f>
        <x:v>0.2863636363636364</x:v>
      </x:c>
      <x:c r="N103" s="23" t="n">
        <x:f>((H103+I103)/2)*SUMIFS('Cenários de GMD'!$E$4:$E$19,'Cenários de GMD'!$A$4:$A$19,B103,'Cenários de GMD'!$B$4:$B$19,C103)</x:f>
        <x:v>0.8590909090909091</x:v>
      </x:c>
      <x:c r="O103" s="21" t="n">
        <x:f>M103*Insumos!$E$4+N103*Insumos!$E$5</x:f>
        <x:v>2.5732636363636368</x:v>
      </x:c>
      <x:c r="P103" s="21" t="n">
        <x:f>O103*Premissas!$B$7</x:f>
        <x:v>77.1979090909091</x:v>
      </x:c>
      <x:c r="Q103" s="21" t="n">
        <x:f>O103*L103</x:f>
        <x:v>421.0795041322314</x:v>
      </x:c>
      <x:c r="R103" s="21" t="n">
        <x:f>Premissas!$B$7*Premissas!$B$8*L103</x:f>
        <x:v>0</x:v>
      </x:c>
      <x:c r="S103" s="21" t="n">
        <x:f>D103*E103</x:f>
        <x:v>3960</x:v>
      </x:c>
      <x:c r="T103" s="21" t="n">
        <x:f>S103*F103</x:f>
        <x:v>67320</x:v>
      </x:c>
      <x:c r="U103" s="21" t="n">
        <x:f>S103-XLOOKUP(A103,Lotes!$A$4:$A$8,Lotes!$D$4:$D$8,Premissas!$B$9)-Q103-R103</x:f>
        <x:v>1588.9204958677685</x:v>
      </x:c>
      <x:c r="V103" s="21" t="n">
        <x:f>U103*F103</x:f>
        <x:v>27011.648429752066</x:v>
      </x:c>
      <x:c r="W103" s="20" t="n">
        <x:f>IF(S103=0,0,U103/S103)</x:f>
        <x:v>0.4012425494615577</x:v>
      </x:c>
      <x:c r="X103" s="21" t="n">
        <x:f>IF(D103-G103&lt;=0,0,Q103/(D103-G103))</x:f>
        <x:v>140.3598347107438</x:v>
      </x:c>
      <x:c r="Y103" s="20" t="n">
        <x:f>IFERROR(U103/(XLOOKUP(A103,Lotes!$A$4:$A$8,Lotes!$D$4:$D$8,Premissas!$B$9)+Q103+R103),0)</x:f>
        <x:v>0.6701253556022291</x:v>
      </x:c>
      <x:c r="Z103" s="20" t="n">
        <x:f>IF(L103=0,Y103,Y103/MAX(1,L103/Premissas!$B$7))</x:f>
        <x:v>0.122856315193742</x:v>
      </x:c>
      <x:c r="AA103" s="19" t="str">
        <x:f>IF(L103=0,"Venda imediata",IF(L103&lt;=60,"Baixo",IF(L103&lt;=120,"Médio","Alto")))</x:f>
        <x:v>Alto</x:v>
      </x:c>
      <x:c r="AB103" s="19" t="str">
        <x:f>IF(U103&lt;0,"Não fazer",IF(AA103="Alto","Risco seca",IF(Z103&gt;=0.03,"Bom giro","Margem ok")))</x:f>
        <x:v>Risco seca</x:v>
      </x:c>
    </x:row>
    <x:row r="104">
      <x:c r="A104" s="19" t="str">
        <x:v>Lote maior - otimista 9@</x:v>
      </x:c>
      <x:c r="B104" s="19" t="str">
        <x:v>Econômica</x:v>
      </x:c>
      <x:c r="C104" s="19" t="str">
        <x:v>Bom</x:v>
      </x:c>
      <x:c r="D104" s="19" t="n">
        <x:v>8.5</x:v>
      </x:c>
      <x:c r="E104" s="21" t="n">
        <x:f>Premissas!$B$6</x:f>
        <x:v>330</x:v>
      </x:c>
      <x:c r="F104" s="19" t="n">
        <x:f>XLOOKUP(A104,Lotes!$A$4:$A$8,Lotes!$B$4:$B$8,0)</x:f>
        <x:v>17</x:v>
      </x:c>
      <x:c r="G104" s="23" t="n">
        <x:f>XLOOKUP(A104,Lotes!$A$4:$A$8,Lotes!$C$4:$C$8,0)</x:f>
        <x:v>9</x:v>
      </x:c>
      <x:c r="H104" s="23" t="n">
        <x:f>G104*Premissas!$B$5/Premissas!$B$4</x:f>
        <x:v>245.45454545454544</x:v>
      </x:c>
      <x:c r="I104" s="23" t="n">
        <x:f>D104*Premissas!$B$5/Premissas!$B$4</x:f>
        <x:v>231.8181818181818</x:v>
      </x:c>
      <x:c r="J104" s="23" t="n">
        <x:f>MAX(0,I104-H104)</x:f>
        <x:v>0</x:v>
      </x:c>
      <x:c r="K104" s="23" t="n">
        <x:f>SUMIFS('Cenários de GMD'!$C$4:$C$19,'Cenários de GMD'!$A$4:$A$19,B104,'Cenários de GMD'!$B$4:$B$19,C104)</x:f>
        <x:v>0.6</x:v>
      </x:c>
      <x:c r="L104" s="23" t="n">
        <x:f>IF(J104=0,0,J104/K104)</x:f>
        <x:v>0</x:v>
      </x:c>
      <x:c r="M104" s="23" t="n">
        <x:f>((H104+I104)/2)*SUMIFS('Cenários de GMD'!$D$4:$D$19,'Cenários de GMD'!$A$4:$A$19,B104,'Cenários de GMD'!$B$4:$B$19,C104)</x:f>
        <x:v>0.23863636363636362</x:v>
      </x:c>
      <x:c r="N104" s="23" t="n">
        <x:f>((H104+I104)/2)*SUMIFS('Cenários de GMD'!$E$4:$E$19,'Cenários de GMD'!$A$4:$A$19,B104,'Cenários de GMD'!$B$4:$B$19,C104)</x:f>
        <x:v>0.7159090909090909</x:v>
      </x:c>
      <x:c r="O104" s="21" t="n">
        <x:f>M104*Insumos!$E$4+N104*Insumos!$E$5</x:f>
        <x:v>2.1443863636363636</x:v>
      </x:c>
      <x:c r="P104" s="21" t="n">
        <x:f>O104*Premissas!$B$7</x:f>
        <x:v>64.3315909090909</x:v>
      </x:c>
      <x:c r="Q104" s="21" t="n">
        <x:f>O104*L104</x:f>
        <x:v>0</x:v>
      </x:c>
      <x:c r="R104" s="21" t="n">
        <x:f>Premissas!$B$7*Premissas!$B$8*L104</x:f>
        <x:v>0</x:v>
      </x:c>
      <x:c r="S104" s="21" t="n">
        <x:f>D104*E104</x:f>
        <x:v>2805</x:v>
      </x:c>
      <x:c r="T104" s="21" t="n">
        <x:f>S104*F104</x:f>
        <x:v>47685</x:v>
      </x:c>
      <x:c r="U104" s="21" t="n">
        <x:f>S104-XLOOKUP(A104,Lotes!$A$4:$A$8,Lotes!$D$4:$D$8,Premissas!$B$9)-Q104-R104</x:f>
        <x:v>855</x:v>
      </x:c>
      <x:c r="V104" s="21" t="n">
        <x:f>U104*F104</x:f>
        <x:v>14535</x:v>
      </x:c>
      <x:c r="W104" s="20" t="n">
        <x:f>IF(S104=0,0,U104/S104)</x:f>
        <x:v>0.3048128342245989</x:v>
      </x:c>
      <x:c r="X104" s="21" t="n">
        <x:f>IF(D104-G104&lt;=0,0,Q104/(D104-G104))</x:f>
        <x:v>0</x:v>
      </x:c>
      <x:c r="Y104" s="20" t="n">
        <x:f>IFERROR(U104/(XLOOKUP(A104,Lotes!$A$4:$A$8,Lotes!$D$4:$D$8,Premissas!$B$9)+Q104+R104),0)</x:f>
        <x:v>0.43846153846153846</x:v>
      </x:c>
      <x:c r="Z104" s="20" t="n">
        <x:f>IF(L104=0,Y104,Y104/MAX(1,L104/Premissas!$B$7))</x:f>
        <x:v>0.43846153846153846</x:v>
      </x:c>
      <x:c r="AA104" s="19" t="str">
        <x:f>IF(L104=0,"Venda imediata",IF(L104&lt;=60,"Baixo",IF(L104&lt;=120,"Médio","Alto")))</x:f>
        <x:v>Venda imediata</x:v>
      </x:c>
      <x:c r="AB104" s="19" t="str">
        <x:f>IF(U104&lt;0,"Não fazer",IF(AA104="Alto","Risco seca",IF(Z104&gt;=0.03,"Bom giro","Margem ok")))</x:f>
        <x:v>Bom giro</x:v>
      </x:c>
    </x:row>
    <x:row r="105">
      <x:c r="A105" s="19" t="str">
        <x:v>Lote maior - otimista 9@</x:v>
      </x:c>
      <x:c r="B105" s="19" t="str">
        <x:v>Econômica</x:v>
      </x:c>
      <x:c r="C105" s="19" t="str">
        <x:v>Bom</x:v>
      </x:c>
      <x:c r="D105" s="19" t="n">
        <x:v>9</x:v>
      </x:c>
      <x:c r="E105" s="21" t="n">
        <x:f>Premissas!$B$6</x:f>
        <x:v>330</x:v>
      </x:c>
      <x:c r="F105" s="19" t="n">
        <x:f>XLOOKUP(A105,Lotes!$A$4:$A$8,Lotes!$B$4:$B$8,0)</x:f>
        <x:v>17</x:v>
      </x:c>
      <x:c r="G105" s="23" t="n">
        <x:f>XLOOKUP(A105,Lotes!$A$4:$A$8,Lotes!$C$4:$C$8,0)</x:f>
        <x:v>9</x:v>
      </x:c>
      <x:c r="H105" s="23" t="n">
        <x:f>G105*Premissas!$B$5/Premissas!$B$4</x:f>
        <x:v>245.45454545454544</x:v>
      </x:c>
      <x:c r="I105" s="23" t="n">
        <x:f>D105*Premissas!$B$5/Premissas!$B$4</x:f>
        <x:v>245.45454545454544</x:v>
      </x:c>
      <x:c r="J105" s="23" t="n">
        <x:f>MAX(0,I105-H105)</x:f>
        <x:v>0</x:v>
      </x:c>
      <x:c r="K105" s="23" t="n">
        <x:f>SUMIFS('Cenários de GMD'!$C$4:$C$19,'Cenários de GMD'!$A$4:$A$19,B105,'Cenários de GMD'!$B$4:$B$19,C105)</x:f>
        <x:v>0.6</x:v>
      </x:c>
      <x:c r="L105" s="23" t="n">
        <x:f>IF(J105=0,0,J105/K105)</x:f>
        <x:v>0</x:v>
      </x:c>
      <x:c r="M105" s="23" t="n">
        <x:f>((H105+I105)/2)*SUMIFS('Cenários de GMD'!$D$4:$D$19,'Cenários de GMD'!$A$4:$A$19,B105,'Cenários de GMD'!$B$4:$B$19,C105)</x:f>
        <x:v>0.24545454545454545</x:v>
      </x:c>
      <x:c r="N105" s="23" t="n">
        <x:f>((H105+I105)/2)*SUMIFS('Cenários de GMD'!$E$4:$E$19,'Cenários de GMD'!$A$4:$A$19,B105,'Cenários de GMD'!$B$4:$B$19,C105)</x:f>
        <x:v>0.7363636363636363</x:v>
      </x:c>
      <x:c r="O105" s="21" t="n">
        <x:f>M105*Insumos!$E$4+N105*Insumos!$E$5</x:f>
        <x:v>2.2056545454545455</x:v>
      </x:c>
      <x:c r="P105" s="21" t="n">
        <x:f>O105*Premissas!$B$7</x:f>
        <x:v>66.16963636363637</x:v>
      </x:c>
      <x:c r="Q105" s="21" t="n">
        <x:f>O105*L105</x:f>
        <x:v>0</x:v>
      </x:c>
      <x:c r="R105" s="21" t="n">
        <x:f>Premissas!$B$7*Premissas!$B$8*L105</x:f>
        <x:v>0</x:v>
      </x:c>
      <x:c r="S105" s="21" t="n">
        <x:f>D105*E105</x:f>
        <x:v>2970</x:v>
      </x:c>
      <x:c r="T105" s="21" t="n">
        <x:f>S105*F105</x:f>
        <x:v>50490</x:v>
      </x:c>
      <x:c r="U105" s="21" t="n">
        <x:f>S105-XLOOKUP(A105,Lotes!$A$4:$A$8,Lotes!$D$4:$D$8,Premissas!$B$9)-Q105-R105</x:f>
        <x:v>1020</x:v>
      </x:c>
      <x:c r="V105" s="21" t="n">
        <x:f>U105*F105</x:f>
        <x:v>17340</x:v>
      </x:c>
      <x:c r="W105" s="20" t="n">
        <x:f>IF(S105=0,0,U105/S105)</x:f>
        <x:v>0.3434343434343434</x:v>
      </x:c>
      <x:c r="X105" s="21" t="n">
        <x:f>IF(D105-G105&lt;=0,0,Q105/(D105-G105))</x:f>
        <x:v>0</x:v>
      </x:c>
      <x:c r="Y105" s="20" t="n">
        <x:f>IFERROR(U105/(XLOOKUP(A105,Lotes!$A$4:$A$8,Lotes!$D$4:$D$8,Premissas!$B$9)+Q105+R105),0)</x:f>
        <x:v>0.5230769230769231</x:v>
      </x:c>
      <x:c r="Z105" s="20" t="n">
        <x:f>IF(L105=0,Y105,Y105/MAX(1,L105/Premissas!$B$7))</x:f>
        <x:v>0.5230769230769231</x:v>
      </x:c>
      <x:c r="AA105" s="19" t="str">
        <x:f>IF(L105=0,"Venda imediata",IF(L105&lt;=60,"Baixo",IF(L105&lt;=120,"Médio","Alto")))</x:f>
        <x:v>Venda imediata</x:v>
      </x:c>
      <x:c r="AB105" s="19" t="str">
        <x:f>IF(U105&lt;0,"Não fazer",IF(AA105="Alto","Risco seca",IF(Z105&gt;=0.03,"Bom giro","Margem ok")))</x:f>
        <x:v>Bom giro</x:v>
      </x:c>
    </x:row>
    <x:row r="106">
      <x:c r="A106" s="19" t="str">
        <x:v>Lote maior - otimista 9@</x:v>
      </x:c>
      <x:c r="B106" s="19" t="str">
        <x:v>Econômica</x:v>
      </x:c>
      <x:c r="C106" s="19" t="str">
        <x:v>Bom</x:v>
      </x:c>
      <x:c r="D106" s="19" t="n">
        <x:v>10.5</x:v>
      </x:c>
      <x:c r="E106" s="21" t="n">
        <x:f>Premissas!$B$6</x:f>
        <x:v>330</x:v>
      </x:c>
      <x:c r="F106" s="19" t="n">
        <x:f>XLOOKUP(A106,Lotes!$A$4:$A$8,Lotes!$B$4:$B$8,0)</x:f>
        <x:v>17</x:v>
      </x:c>
      <x:c r="G106" s="23" t="n">
        <x:f>XLOOKUP(A106,Lotes!$A$4:$A$8,Lotes!$C$4:$C$8,0)</x:f>
        <x:v>9</x:v>
      </x:c>
      <x:c r="H106" s="23" t="n">
        <x:f>G106*Premissas!$B$5/Premissas!$B$4</x:f>
        <x:v>245.45454545454544</x:v>
      </x:c>
      <x:c r="I106" s="23" t="n">
        <x:f>D106*Premissas!$B$5/Premissas!$B$4</x:f>
        <x:v>286.3636363636363</x:v>
      </x:c>
      <x:c r="J106" s="23" t="n">
        <x:f>MAX(0,I106-H106)</x:f>
        <x:v>40.90909090909088</x:v>
      </x:c>
      <x:c r="K106" s="23" t="n">
        <x:f>SUMIFS('Cenários de GMD'!$C$4:$C$19,'Cenários de GMD'!$A$4:$A$19,B106,'Cenários de GMD'!$B$4:$B$19,C106)</x:f>
        <x:v>0.6</x:v>
      </x:c>
      <x:c r="L106" s="23" t="n">
        <x:f>IF(J106=0,0,J106/K106)</x:f>
        <x:v>68.18181818181813</x:v>
      </x:c>
      <x:c r="M106" s="23" t="n">
        <x:f>((H106+I106)/2)*SUMIFS('Cenários de GMD'!$D$4:$D$19,'Cenários de GMD'!$A$4:$A$19,B106,'Cenários de GMD'!$B$4:$B$19,C106)</x:f>
        <x:v>0.2659090909090909</x:v>
      </x:c>
      <x:c r="N106" s="23" t="n">
        <x:f>((H106+I106)/2)*SUMIFS('Cenários de GMD'!$E$4:$E$19,'Cenários de GMD'!$A$4:$A$19,B106,'Cenários de GMD'!$B$4:$B$19,C106)</x:f>
        <x:v>0.7977272727272726</x:v>
      </x:c>
      <x:c r="O106" s="21" t="n">
        <x:f>M106*Insumos!$E$4+N106*Insumos!$E$5</x:f>
        <x:v>2.3894590909090905</x:v>
      </x:c>
      <x:c r="P106" s="21" t="n">
        <x:f>O106*Premissas!$B$7</x:f>
        <x:v>71.68377272727271</x:v>
      </x:c>
      <x:c r="Q106" s="21" t="n">
        <x:f>O106*L106</x:f>
        <x:v>162.91766528925604</x:v>
      </x:c>
      <x:c r="R106" s="21" t="n">
        <x:f>Premissas!$B$7*Premissas!$B$8*L106</x:f>
        <x:v>0</x:v>
      </x:c>
      <x:c r="S106" s="21" t="n">
        <x:f>D106*E106</x:f>
        <x:v>3465</x:v>
      </x:c>
      <x:c r="T106" s="21" t="n">
        <x:f>S106*F106</x:f>
        <x:v>58905</x:v>
      </x:c>
      <x:c r="U106" s="21" t="n">
        <x:f>S106-XLOOKUP(A106,Lotes!$A$4:$A$8,Lotes!$D$4:$D$8,Premissas!$B$9)-Q106-R106</x:f>
        <x:v>1352.082334710744</x:v>
      </x:c>
      <x:c r="V106" s="21" t="n">
        <x:f>U106*F106</x:f>
        <x:v>22985.399690082646</x:v>
      </x:c>
      <x:c r="W106" s="20" t="n">
        <x:f>IF(S106=0,0,U106/S106)</x:f>
        <x:v>0.3902113520088727</x:v>
      </x:c>
      <x:c r="X106" s="21" t="n">
        <x:f>IF(D106-G106&lt;=0,0,Q106/(D106-G106))</x:f>
        <x:v>108.61177685950402</x:v>
      </x:c>
      <x:c r="Y106" s="20" t="n">
        <x:f>IFERROR(U106/(XLOOKUP(A106,Lotes!$A$4:$A$8,Lotes!$D$4:$D$8,Premissas!$B$9)+Q106+R106),0)</x:f>
        <x:v>0.6399124570363443</x:v>
      </x:c>
      <x:c r="Z106" s="20" t="n">
        <x:f>IF(L106=0,Y106,Y106/MAX(1,L106/Premissas!$B$7))</x:f>
        <x:v>0.28156148109599166</x:v>
      </x:c>
      <x:c r="AA106" s="19" t="str">
        <x:f>IF(L106=0,"Venda imediata",IF(L106&lt;=60,"Baixo",IF(L106&lt;=120,"Médio","Alto")))</x:f>
        <x:v>Médio</x:v>
      </x:c>
      <x:c r="AB106" s="19" t="str">
        <x:f>IF(U106&lt;0,"Não fazer",IF(AA106="Alto","Risco seca",IF(Z106&gt;=0.03,"Bom giro","Margem ok")))</x:f>
        <x:v>Bom giro</x:v>
      </x:c>
    </x:row>
    <x:row r="107">
      <x:c r="A107" s="19" t="str">
        <x:v>Lote maior - otimista 9@</x:v>
      </x:c>
      <x:c r="B107" s="19" t="str">
        <x:v>Econômica</x:v>
      </x:c>
      <x:c r="C107" s="19" t="str">
        <x:v>Bom</x:v>
      </x:c>
      <x:c r="D107" s="19" t="n">
        <x:v>11</x:v>
      </x:c>
      <x:c r="E107" s="21" t="n">
        <x:f>Premissas!$B$6</x:f>
        <x:v>330</x:v>
      </x:c>
      <x:c r="F107" s="19" t="n">
        <x:f>XLOOKUP(A107,Lotes!$A$4:$A$8,Lotes!$B$4:$B$8,0)</x:f>
        <x:v>17</x:v>
      </x:c>
      <x:c r="G107" s="23" t="n">
        <x:f>XLOOKUP(A107,Lotes!$A$4:$A$8,Lotes!$C$4:$C$8,0)</x:f>
        <x:v>9</x:v>
      </x:c>
      <x:c r="H107" s="23" t="n">
        <x:f>G107*Premissas!$B$5/Premissas!$B$4</x:f>
        <x:v>245.45454545454544</x:v>
      </x:c>
      <x:c r="I107" s="23" t="n">
        <x:f>D107*Premissas!$B$5/Premissas!$B$4</x:f>
        <x:v>300</x:v>
      </x:c>
      <x:c r="J107" s="23" t="n">
        <x:f>MAX(0,I107-H107)</x:f>
        <x:v>54.54545454545456</x:v>
      </x:c>
      <x:c r="K107" s="23" t="n">
        <x:f>SUMIFS('Cenários de GMD'!$C$4:$C$19,'Cenários de GMD'!$A$4:$A$19,B107,'Cenários de GMD'!$B$4:$B$19,C107)</x:f>
        <x:v>0.6</x:v>
      </x:c>
      <x:c r="L107" s="23" t="n">
        <x:f>IF(J107=0,0,J107/K107)</x:f>
        <x:v>90.90909090909093</x:v>
      </x:c>
      <x:c r="M107" s="23" t="n">
        <x:f>((H107+I107)/2)*SUMIFS('Cenários de GMD'!$D$4:$D$19,'Cenários de GMD'!$A$4:$A$19,B107,'Cenários de GMD'!$B$4:$B$19,C107)</x:f>
        <x:v>0.27272727272727276</x:v>
      </x:c>
      <x:c r="N107" s="23" t="n">
        <x:f>((H107+I107)/2)*SUMIFS('Cenários de GMD'!$E$4:$E$19,'Cenários de GMD'!$A$4:$A$19,B107,'Cenários de GMD'!$B$4:$B$19,C107)</x:f>
        <x:v>0.8181818181818182</x:v>
      </x:c>
      <x:c r="O107" s="21" t="n">
        <x:f>M107*Insumos!$E$4+N107*Insumos!$E$5</x:f>
        <x:v>2.450727272727273</x:v>
      </x:c>
      <x:c r="P107" s="21" t="n">
        <x:f>O107*Premissas!$B$7</x:f>
        <x:v>73.52181818181819</x:v>
      </x:c>
      <x:c r="Q107" s="21" t="n">
        <x:f>O107*L107</x:f>
        <x:v>222.79338842975216</x:v>
      </x:c>
      <x:c r="R107" s="21" t="n">
        <x:f>Premissas!$B$7*Premissas!$B$8*L107</x:f>
        <x:v>0</x:v>
      </x:c>
      <x:c r="S107" s="21" t="n">
        <x:f>D107*E107</x:f>
        <x:v>3630</x:v>
      </x:c>
      <x:c r="T107" s="21" t="n">
        <x:f>S107*F107</x:f>
        <x:v>61710</x:v>
      </x:c>
      <x:c r="U107" s="21" t="n">
        <x:f>S107-XLOOKUP(A107,Lotes!$A$4:$A$8,Lotes!$D$4:$D$8,Premissas!$B$9)-Q107-R107</x:f>
        <x:v>1457.2066115702478</x:v>
      </x:c>
      <x:c r="V107" s="21" t="n">
        <x:f>U107*F107</x:f>
        <x:v>24772.512396694212</x:v>
      </x:c>
      <x:c r="W107" s="20" t="n">
        <x:f>IF(S107=0,0,U107/S107)</x:f>
        <x:v>0.4014343282562666</x:v>
      </x:c>
      <x:c r="X107" s="21" t="n">
        <x:f>IF(D107-G107&lt;=0,0,Q107/(D107-G107))</x:f>
        <x:v>111.39669421487608</x:v>
      </x:c>
      <x:c r="Y107" s="20" t="n">
        <x:f>IFERROR(U107/(XLOOKUP(A107,Lotes!$A$4:$A$8,Lotes!$D$4:$D$8,Premissas!$B$9)+Q107+R107),0)</x:f>
        <x:v>0.6706604591720297</x:v>
      </x:c>
      <x:c r="Z107" s="20" t="n">
        <x:f>IF(L107=0,Y107,Y107/MAX(1,L107/Premissas!$B$7))</x:f>
        <x:v>0.22131795152676972</x:v>
      </x:c>
      <x:c r="AA107" s="19" t="str">
        <x:f>IF(L107=0,"Venda imediata",IF(L107&lt;=60,"Baixo",IF(L107&lt;=120,"Médio","Alto")))</x:f>
        <x:v>Médio</x:v>
      </x:c>
      <x:c r="AB107" s="19" t="str">
        <x:f>IF(U107&lt;0,"Não fazer",IF(AA107="Alto","Risco seca",IF(Z107&gt;=0.03,"Bom giro","Margem ok")))</x:f>
        <x:v>Bom giro</x:v>
      </x:c>
    </x:row>
    <x:row r="108">
      <x:c r="A108" s="19" t="str">
        <x:v>Lote maior - otimista 9@</x:v>
      </x:c>
      <x:c r="B108" s="19" t="str">
        <x:v>Econômica</x:v>
      </x:c>
      <x:c r="C108" s="19" t="str">
        <x:v>Bom</x:v>
      </x:c>
      <x:c r="D108" s="19" t="n">
        <x:v>12</x:v>
      </x:c>
      <x:c r="E108" s="21" t="n">
        <x:f>Premissas!$B$6</x:f>
        <x:v>330</x:v>
      </x:c>
      <x:c r="F108" s="19" t="n">
        <x:f>XLOOKUP(A108,Lotes!$A$4:$A$8,Lotes!$B$4:$B$8,0)</x:f>
        <x:v>17</x:v>
      </x:c>
      <x:c r="G108" s="23" t="n">
        <x:f>XLOOKUP(A108,Lotes!$A$4:$A$8,Lotes!$C$4:$C$8,0)</x:f>
        <x:v>9</x:v>
      </x:c>
      <x:c r="H108" s="23" t="n">
        <x:f>G108*Premissas!$B$5/Premissas!$B$4</x:f>
        <x:v>245.45454545454544</x:v>
      </x:c>
      <x:c r="I108" s="23" t="n">
        <x:f>D108*Premissas!$B$5/Premissas!$B$4</x:f>
        <x:v>327.27272727272725</x:v>
      </x:c>
      <x:c r="J108" s="23" t="n">
        <x:f>MAX(0,I108-H108)</x:f>
        <x:v>81.81818181818181</x:v>
      </x:c>
      <x:c r="K108" s="23" t="n">
        <x:f>SUMIFS('Cenários de GMD'!$C$4:$C$19,'Cenários de GMD'!$A$4:$A$19,B108,'Cenários de GMD'!$B$4:$B$19,C108)</x:f>
        <x:v>0.6</x:v>
      </x:c>
      <x:c r="L108" s="23" t="n">
        <x:f>IF(J108=0,0,J108/K108)</x:f>
        <x:v>136.36363636363637</x:v>
      </x:c>
      <x:c r="M108" s="23" t="n">
        <x:f>((H108+I108)/2)*SUMIFS('Cenários de GMD'!$D$4:$D$19,'Cenários de GMD'!$A$4:$A$19,B108,'Cenários de GMD'!$B$4:$B$19,C108)</x:f>
        <x:v>0.2863636363636364</x:v>
      </x:c>
      <x:c r="N108" s="23" t="n">
        <x:f>((H108+I108)/2)*SUMIFS('Cenários de GMD'!$E$4:$E$19,'Cenários de GMD'!$A$4:$A$19,B108,'Cenários de GMD'!$B$4:$B$19,C108)</x:f>
        <x:v>0.8590909090909091</x:v>
      </x:c>
      <x:c r="O108" s="21" t="n">
        <x:f>M108*Insumos!$E$4+N108*Insumos!$E$5</x:f>
        <x:v>2.5732636363636368</x:v>
      </x:c>
      <x:c r="P108" s="21" t="n">
        <x:f>O108*Premissas!$B$7</x:f>
        <x:v>77.1979090909091</x:v>
      </x:c>
      <x:c r="Q108" s="21" t="n">
        <x:f>O108*L108</x:f>
        <x:v>350.89958677685956</x:v>
      </x:c>
      <x:c r="R108" s="21" t="n">
        <x:f>Premissas!$B$7*Premissas!$B$8*L108</x:f>
        <x:v>0</x:v>
      </x:c>
      <x:c r="S108" s="21" t="n">
        <x:f>D108*E108</x:f>
        <x:v>3960</x:v>
      </x:c>
      <x:c r="T108" s="21" t="n">
        <x:f>S108*F108</x:f>
        <x:v>67320</x:v>
      </x:c>
      <x:c r="U108" s="21" t="n">
        <x:f>S108-XLOOKUP(A108,Lotes!$A$4:$A$8,Lotes!$D$4:$D$8,Premissas!$B$9)-Q108-R108</x:f>
        <x:v>1659.1004132231405</x:v>
      </x:c>
      <x:c r="V108" s="21" t="n">
        <x:f>U108*F108</x:f>
        <x:v>28204.707024793388</x:v>
      </x:c>
      <x:c r="W108" s="20" t="n">
        <x:f>IF(S108=0,0,U108/S108)</x:f>
        <x:v>0.41896475081392437</x:v>
      </x:c>
      <x:c r="X108" s="21" t="n">
        <x:f>IF(D108-G108&lt;=0,0,Q108/(D108-G108))</x:f>
        <x:v>116.96652892561985</x:v>
      </x:c>
      <x:c r="Y108" s="20" t="n">
        <x:f>IFERROR(U108/(XLOOKUP(A108,Lotes!$A$4:$A$8,Lotes!$D$4:$D$8,Premissas!$B$9)+Q108+R108),0)</x:f>
        <x:v>0.7210659790448473</x:v>
      </x:c>
      <x:c r="Z108" s="20" t="n">
        <x:f>IF(L108=0,Y108,Y108/MAX(1,L108/Premissas!$B$7))</x:f>
        <x:v>0.1586345153898664</x:v>
      </x:c>
      <x:c r="AA108" s="19" t="str">
        <x:f>IF(L108=0,"Venda imediata",IF(L108&lt;=60,"Baixo",IF(L108&lt;=120,"Médio","Alto")))</x:f>
        <x:v>Alto</x:v>
      </x:c>
      <x:c r="AB108" s="19" t="str">
        <x:f>IF(U108&lt;0,"Não fazer",IF(AA108="Alto","Risco seca",IF(Z108&gt;=0.03,"Bom giro","Margem ok")))</x:f>
        <x:v>Risco seca</x:v>
      </x:c>
    </x:row>
    <x:row r="109">
      <x:c r="A109" s="19" t="str">
        <x:v>Lote maior - otimista 9@</x:v>
      </x:c>
      <x:c r="B109" s="19" t="str">
        <x:v>Econômica</x:v>
      </x:c>
      <x:c r="C109" s="19" t="str">
        <x:v>Ótimo</x:v>
      </x:c>
      <x:c r="D109" s="19" t="n">
        <x:v>8.5</x:v>
      </x:c>
      <x:c r="E109" s="21" t="n">
        <x:f>Premissas!$B$6</x:f>
        <x:v>330</x:v>
      </x:c>
      <x:c r="F109" s="19" t="n">
        <x:f>XLOOKUP(A109,Lotes!$A$4:$A$8,Lotes!$B$4:$B$8,0)</x:f>
        <x:v>17</x:v>
      </x:c>
      <x:c r="G109" s="23" t="n">
        <x:f>XLOOKUP(A109,Lotes!$A$4:$A$8,Lotes!$C$4:$C$8,0)</x:f>
        <x:v>9</x:v>
      </x:c>
      <x:c r="H109" s="23" t="n">
        <x:f>G109*Premissas!$B$5/Premissas!$B$4</x:f>
        <x:v>245.45454545454544</x:v>
      </x:c>
      <x:c r="I109" s="23" t="n">
        <x:f>D109*Premissas!$B$5/Premissas!$B$4</x:f>
        <x:v>231.8181818181818</x:v>
      </x:c>
      <x:c r="J109" s="23" t="n">
        <x:f>MAX(0,I109-H109)</x:f>
        <x:v>0</x:v>
      </x:c>
      <x:c r="K109" s="23" t="n">
        <x:f>SUMIFS('Cenários de GMD'!$C$4:$C$19,'Cenários de GMD'!$A$4:$A$19,B109,'Cenários de GMD'!$B$4:$B$19,C109)</x:f>
        <x:v>0.7</x:v>
      </x:c>
      <x:c r="L109" s="23" t="n">
        <x:f>IF(J109=0,0,J109/K109)</x:f>
        <x:v>0</x:v>
      </x:c>
      <x:c r="M109" s="23" t="n">
        <x:f>((H109+I109)/2)*SUMIFS('Cenários de GMD'!$D$4:$D$19,'Cenários de GMD'!$A$4:$A$19,B109,'Cenários de GMD'!$B$4:$B$19,C109)</x:f>
        <x:v>0.23863636363636362</x:v>
      </x:c>
      <x:c r="N109" s="23" t="n">
        <x:f>((H109+I109)/2)*SUMIFS('Cenários de GMD'!$E$4:$E$19,'Cenários de GMD'!$A$4:$A$19,B109,'Cenários de GMD'!$B$4:$B$19,C109)</x:f>
        <x:v>0.7159090909090909</x:v>
      </x:c>
      <x:c r="O109" s="21" t="n">
        <x:f>M109*Insumos!$E$4+N109*Insumos!$E$5</x:f>
        <x:v>2.1443863636363636</x:v>
      </x:c>
      <x:c r="P109" s="21" t="n">
        <x:f>O109*Premissas!$B$7</x:f>
        <x:v>64.3315909090909</x:v>
      </x:c>
      <x:c r="Q109" s="21" t="n">
        <x:f>O109*L109</x:f>
        <x:v>0</x:v>
      </x:c>
      <x:c r="R109" s="21" t="n">
        <x:f>Premissas!$B$7*Premissas!$B$8*L109</x:f>
        <x:v>0</x:v>
      </x:c>
      <x:c r="S109" s="21" t="n">
        <x:f>D109*E109</x:f>
        <x:v>2805</x:v>
      </x:c>
      <x:c r="T109" s="21" t="n">
        <x:f>S109*F109</x:f>
        <x:v>47685</x:v>
      </x:c>
      <x:c r="U109" s="21" t="n">
        <x:f>S109-XLOOKUP(A109,Lotes!$A$4:$A$8,Lotes!$D$4:$D$8,Premissas!$B$9)-Q109-R109</x:f>
        <x:v>855</x:v>
      </x:c>
      <x:c r="V109" s="21" t="n">
        <x:f>U109*F109</x:f>
        <x:v>14535</x:v>
      </x:c>
      <x:c r="W109" s="20" t="n">
        <x:f>IF(S109=0,0,U109/S109)</x:f>
        <x:v>0.3048128342245989</x:v>
      </x:c>
      <x:c r="X109" s="21" t="n">
        <x:f>IF(D109-G109&lt;=0,0,Q109/(D109-G109))</x:f>
        <x:v>0</x:v>
      </x:c>
      <x:c r="Y109" s="20" t="n">
        <x:f>IFERROR(U109/(XLOOKUP(A109,Lotes!$A$4:$A$8,Lotes!$D$4:$D$8,Premissas!$B$9)+Q109+R109),0)</x:f>
        <x:v>0.43846153846153846</x:v>
      </x:c>
      <x:c r="Z109" s="20" t="n">
        <x:f>IF(L109=0,Y109,Y109/MAX(1,L109/Premissas!$B$7))</x:f>
        <x:v>0.43846153846153846</x:v>
      </x:c>
      <x:c r="AA109" s="19" t="str">
        <x:f>IF(L109=0,"Venda imediata",IF(L109&lt;=60,"Baixo",IF(L109&lt;=120,"Médio","Alto")))</x:f>
        <x:v>Venda imediata</x:v>
      </x:c>
      <x:c r="AB109" s="19" t="str">
        <x:f>IF(U109&lt;0,"Não fazer",IF(AA109="Alto","Risco seca",IF(Z109&gt;=0.03,"Bom giro","Margem ok")))</x:f>
        <x:v>Bom giro</x:v>
      </x:c>
    </x:row>
    <x:row r="110">
      <x:c r="A110" s="19" t="str">
        <x:v>Lote maior - otimista 9@</x:v>
      </x:c>
      <x:c r="B110" s="19" t="str">
        <x:v>Econômica</x:v>
      </x:c>
      <x:c r="C110" s="19" t="str">
        <x:v>Ótimo</x:v>
      </x:c>
      <x:c r="D110" s="19" t="n">
        <x:v>9</x:v>
      </x:c>
      <x:c r="E110" s="21" t="n">
        <x:f>Premissas!$B$6</x:f>
        <x:v>330</x:v>
      </x:c>
      <x:c r="F110" s="19" t="n">
        <x:f>XLOOKUP(A110,Lotes!$A$4:$A$8,Lotes!$B$4:$B$8,0)</x:f>
        <x:v>17</x:v>
      </x:c>
      <x:c r="G110" s="23" t="n">
        <x:f>XLOOKUP(A110,Lotes!$A$4:$A$8,Lotes!$C$4:$C$8,0)</x:f>
        <x:v>9</x:v>
      </x:c>
      <x:c r="H110" s="23" t="n">
        <x:f>G110*Premissas!$B$5/Premissas!$B$4</x:f>
        <x:v>245.45454545454544</x:v>
      </x:c>
      <x:c r="I110" s="23" t="n">
        <x:f>D110*Premissas!$B$5/Premissas!$B$4</x:f>
        <x:v>245.45454545454544</x:v>
      </x:c>
      <x:c r="J110" s="23" t="n">
        <x:f>MAX(0,I110-H110)</x:f>
        <x:v>0</x:v>
      </x:c>
      <x:c r="K110" s="23" t="n">
        <x:f>SUMIFS('Cenários de GMD'!$C$4:$C$19,'Cenários de GMD'!$A$4:$A$19,B110,'Cenários de GMD'!$B$4:$B$19,C110)</x:f>
        <x:v>0.7</x:v>
      </x:c>
      <x:c r="L110" s="23" t="n">
        <x:f>IF(J110=0,0,J110/K110)</x:f>
        <x:v>0</x:v>
      </x:c>
      <x:c r="M110" s="23" t="n">
        <x:f>((H110+I110)/2)*SUMIFS('Cenários de GMD'!$D$4:$D$19,'Cenários de GMD'!$A$4:$A$19,B110,'Cenários de GMD'!$B$4:$B$19,C110)</x:f>
        <x:v>0.24545454545454545</x:v>
      </x:c>
      <x:c r="N110" s="23" t="n">
        <x:f>((H110+I110)/2)*SUMIFS('Cenários de GMD'!$E$4:$E$19,'Cenários de GMD'!$A$4:$A$19,B110,'Cenários de GMD'!$B$4:$B$19,C110)</x:f>
        <x:v>0.7363636363636363</x:v>
      </x:c>
      <x:c r="O110" s="21" t="n">
        <x:f>M110*Insumos!$E$4+N110*Insumos!$E$5</x:f>
        <x:v>2.2056545454545455</x:v>
      </x:c>
      <x:c r="P110" s="21" t="n">
        <x:f>O110*Premissas!$B$7</x:f>
        <x:v>66.16963636363637</x:v>
      </x:c>
      <x:c r="Q110" s="21" t="n">
        <x:f>O110*L110</x:f>
        <x:v>0</x:v>
      </x:c>
      <x:c r="R110" s="21" t="n">
        <x:f>Premissas!$B$7*Premissas!$B$8*L110</x:f>
        <x:v>0</x:v>
      </x:c>
      <x:c r="S110" s="21" t="n">
        <x:f>D110*E110</x:f>
        <x:v>2970</x:v>
      </x:c>
      <x:c r="T110" s="21" t="n">
        <x:f>S110*F110</x:f>
        <x:v>50490</x:v>
      </x:c>
      <x:c r="U110" s="21" t="n">
        <x:f>S110-XLOOKUP(A110,Lotes!$A$4:$A$8,Lotes!$D$4:$D$8,Premissas!$B$9)-Q110-R110</x:f>
        <x:v>1020</x:v>
      </x:c>
      <x:c r="V110" s="21" t="n">
        <x:f>U110*F110</x:f>
        <x:v>17340</x:v>
      </x:c>
      <x:c r="W110" s="20" t="n">
        <x:f>IF(S110=0,0,U110/S110)</x:f>
        <x:v>0.3434343434343434</x:v>
      </x:c>
      <x:c r="X110" s="21" t="n">
        <x:f>IF(D110-G110&lt;=0,0,Q110/(D110-G110))</x:f>
        <x:v>0</x:v>
      </x:c>
      <x:c r="Y110" s="20" t="n">
        <x:f>IFERROR(U110/(XLOOKUP(A110,Lotes!$A$4:$A$8,Lotes!$D$4:$D$8,Premissas!$B$9)+Q110+R110),0)</x:f>
        <x:v>0.5230769230769231</x:v>
      </x:c>
      <x:c r="Z110" s="20" t="n">
        <x:f>IF(L110=0,Y110,Y110/MAX(1,L110/Premissas!$B$7))</x:f>
        <x:v>0.5230769230769231</x:v>
      </x:c>
      <x:c r="AA110" s="19" t="str">
        <x:f>IF(L110=0,"Venda imediata",IF(L110&lt;=60,"Baixo",IF(L110&lt;=120,"Médio","Alto")))</x:f>
        <x:v>Venda imediata</x:v>
      </x:c>
      <x:c r="AB110" s="19" t="str">
        <x:f>IF(U110&lt;0,"Não fazer",IF(AA110="Alto","Risco seca",IF(Z110&gt;=0.03,"Bom giro","Margem ok")))</x:f>
        <x:v>Bom giro</x:v>
      </x:c>
    </x:row>
    <x:row r="111">
      <x:c r="A111" s="19" t="str">
        <x:v>Lote maior - otimista 9@</x:v>
      </x:c>
      <x:c r="B111" s="19" t="str">
        <x:v>Econômica</x:v>
      </x:c>
      <x:c r="C111" s="19" t="str">
        <x:v>Ótimo</x:v>
      </x:c>
      <x:c r="D111" s="19" t="n">
        <x:v>10.5</x:v>
      </x:c>
      <x:c r="E111" s="21" t="n">
        <x:f>Premissas!$B$6</x:f>
        <x:v>330</x:v>
      </x:c>
      <x:c r="F111" s="19" t="n">
        <x:f>XLOOKUP(A111,Lotes!$A$4:$A$8,Lotes!$B$4:$B$8,0)</x:f>
        <x:v>17</x:v>
      </x:c>
      <x:c r="G111" s="23" t="n">
        <x:f>XLOOKUP(A111,Lotes!$A$4:$A$8,Lotes!$C$4:$C$8,0)</x:f>
        <x:v>9</x:v>
      </x:c>
      <x:c r="H111" s="23" t="n">
        <x:f>G111*Premissas!$B$5/Premissas!$B$4</x:f>
        <x:v>245.45454545454544</x:v>
      </x:c>
      <x:c r="I111" s="23" t="n">
        <x:f>D111*Premissas!$B$5/Premissas!$B$4</x:f>
        <x:v>286.3636363636363</x:v>
      </x:c>
      <x:c r="J111" s="23" t="n">
        <x:f>MAX(0,I111-H111)</x:f>
        <x:v>40.90909090909088</x:v>
      </x:c>
      <x:c r="K111" s="23" t="n">
        <x:f>SUMIFS('Cenários de GMD'!$C$4:$C$19,'Cenários de GMD'!$A$4:$A$19,B111,'Cenários de GMD'!$B$4:$B$19,C111)</x:f>
        <x:v>0.7</x:v>
      </x:c>
      <x:c r="L111" s="23" t="n">
        <x:f>IF(J111=0,0,J111/K111)</x:f>
        <x:v>58.4415584415584</x:v>
      </x:c>
      <x:c r="M111" s="23" t="n">
        <x:f>((H111+I111)/2)*SUMIFS('Cenários de GMD'!$D$4:$D$19,'Cenários de GMD'!$A$4:$A$19,B111,'Cenários de GMD'!$B$4:$B$19,C111)</x:f>
        <x:v>0.2659090909090909</x:v>
      </x:c>
      <x:c r="N111" s="23" t="n">
        <x:f>((H111+I111)/2)*SUMIFS('Cenários de GMD'!$E$4:$E$19,'Cenários de GMD'!$A$4:$A$19,B111,'Cenários de GMD'!$B$4:$B$19,C111)</x:f>
        <x:v>0.7977272727272726</x:v>
      </x:c>
      <x:c r="O111" s="21" t="n">
        <x:f>M111*Insumos!$E$4+N111*Insumos!$E$5</x:f>
        <x:v>2.3894590909090905</x:v>
      </x:c>
      <x:c r="P111" s="21" t="n">
        <x:f>O111*Premissas!$B$7</x:f>
        <x:v>71.68377272727271</x:v>
      </x:c>
      <x:c r="Q111" s="21" t="n">
        <x:f>O111*L111</x:f>
        <x:v>139.6437131050766</x:v>
      </x:c>
      <x:c r="R111" s="21" t="n">
        <x:f>Premissas!$B$7*Premissas!$B$8*L111</x:f>
        <x:v>0</x:v>
      </x:c>
      <x:c r="S111" s="21" t="n">
        <x:f>D111*E111</x:f>
        <x:v>3465</x:v>
      </x:c>
      <x:c r="T111" s="21" t="n">
        <x:f>S111*F111</x:f>
        <x:v>58905</x:v>
      </x:c>
      <x:c r="U111" s="21" t="n">
        <x:f>S111-XLOOKUP(A111,Lotes!$A$4:$A$8,Lotes!$D$4:$D$8,Premissas!$B$9)-Q111-R111</x:f>
        <x:v>1375.3562868949234</x:v>
      </x:c>
      <x:c r="V111" s="21" t="n">
        <x:f>U111*F111</x:f>
        <x:v>23381.056877213698</x:v>
      </x:c>
      <x:c r="W111" s="20" t="n">
        <x:f>IF(S111=0,0,U111/S111)</x:f>
        <x:v>0.39692822132609623</x:v>
      </x:c>
      <x:c r="X111" s="21" t="n">
        <x:f>IF(D111-G111&lt;=0,0,Q111/(D111-G111))</x:f>
        <x:v>93.09580873671774</x:v>
      </x:c>
      <x:c r="Y111" s="20" t="n">
        <x:f>IFERROR(U111/(XLOOKUP(A111,Lotes!$A$4:$A$8,Lotes!$D$4:$D$8,Premissas!$B$9)+Q111+R111),0)</x:f>
        <x:v>0.6581774099907358</x:v>
      </x:c>
      <x:c r="Z111" s="20" t="n">
        <x:f>IF(L111=0,Y111,Y111/MAX(1,L111/Premissas!$B$7))</x:f>
        <x:v>0.3378644037952446</x:v>
      </x:c>
      <x:c r="AA111" s="19" t="str">
        <x:f>IF(L111=0,"Venda imediata",IF(L111&lt;=60,"Baixo",IF(L111&lt;=120,"Médio","Alto")))</x:f>
        <x:v>Baixo</x:v>
      </x:c>
      <x:c r="AB111" s="19" t="str">
        <x:f>IF(U111&lt;0,"Não fazer",IF(AA111="Alto","Risco seca",IF(Z111&gt;=0.03,"Bom giro","Margem ok")))</x:f>
        <x:v>Bom giro</x:v>
      </x:c>
    </x:row>
    <x:row r="112">
      <x:c r="A112" s="19" t="str">
        <x:v>Lote maior - otimista 9@</x:v>
      </x:c>
      <x:c r="B112" s="19" t="str">
        <x:v>Econômica</x:v>
      </x:c>
      <x:c r="C112" s="19" t="str">
        <x:v>Ótimo</x:v>
      </x:c>
      <x:c r="D112" s="19" t="n">
        <x:v>11</x:v>
      </x:c>
      <x:c r="E112" s="21" t="n">
        <x:f>Premissas!$B$6</x:f>
        <x:v>330</x:v>
      </x:c>
      <x:c r="F112" s="19" t="n">
        <x:f>XLOOKUP(A112,Lotes!$A$4:$A$8,Lotes!$B$4:$B$8,0)</x:f>
        <x:v>17</x:v>
      </x:c>
      <x:c r="G112" s="23" t="n">
        <x:f>XLOOKUP(A112,Lotes!$A$4:$A$8,Lotes!$C$4:$C$8,0)</x:f>
        <x:v>9</x:v>
      </x:c>
      <x:c r="H112" s="23" t="n">
        <x:f>G112*Premissas!$B$5/Premissas!$B$4</x:f>
        <x:v>245.45454545454544</x:v>
      </x:c>
      <x:c r="I112" s="23" t="n">
        <x:f>D112*Premissas!$B$5/Premissas!$B$4</x:f>
        <x:v>300</x:v>
      </x:c>
      <x:c r="J112" s="23" t="n">
        <x:f>MAX(0,I112-H112)</x:f>
        <x:v>54.54545454545456</x:v>
      </x:c>
      <x:c r="K112" s="23" t="n">
        <x:f>SUMIFS('Cenários de GMD'!$C$4:$C$19,'Cenários de GMD'!$A$4:$A$19,B112,'Cenários de GMD'!$B$4:$B$19,C112)</x:f>
        <x:v>0.7</x:v>
      </x:c>
      <x:c r="L112" s="23" t="n">
        <x:f>IF(J112=0,0,J112/K112)</x:f>
        <x:v>77.92207792207795</x:v>
      </x:c>
      <x:c r="M112" s="23" t="n">
        <x:f>((H112+I112)/2)*SUMIFS('Cenários de GMD'!$D$4:$D$19,'Cenários de GMD'!$A$4:$A$19,B112,'Cenários de GMD'!$B$4:$B$19,C112)</x:f>
        <x:v>0.27272727272727276</x:v>
      </x:c>
      <x:c r="N112" s="23" t="n">
        <x:f>((H112+I112)/2)*SUMIFS('Cenários de GMD'!$E$4:$E$19,'Cenários de GMD'!$A$4:$A$19,B112,'Cenários de GMD'!$B$4:$B$19,C112)</x:f>
        <x:v>0.8181818181818182</x:v>
      </x:c>
      <x:c r="O112" s="21" t="n">
        <x:f>M112*Insumos!$E$4+N112*Insumos!$E$5</x:f>
        <x:v>2.450727272727273</x:v>
      </x:c>
      <x:c r="P112" s="21" t="n">
        <x:f>O112*Premissas!$B$7</x:f>
        <x:v>73.52181818181819</x:v>
      </x:c>
      <x:c r="Q112" s="21" t="n">
        <x:f>O112*L112</x:f>
        <x:v>190.96576151121613</x:v>
      </x:c>
      <x:c r="R112" s="21" t="n">
        <x:f>Premissas!$B$7*Premissas!$B$8*L112</x:f>
        <x:v>0</x:v>
      </x:c>
      <x:c r="S112" s="21" t="n">
        <x:f>D112*E112</x:f>
        <x:v>3630</x:v>
      </x:c>
      <x:c r="T112" s="21" t="n">
        <x:f>S112*F112</x:f>
        <x:v>61710</x:v>
      </x:c>
      <x:c r="U112" s="21" t="n">
        <x:f>S112-XLOOKUP(A112,Lotes!$A$4:$A$8,Lotes!$D$4:$D$8,Premissas!$B$9)-Q112-R112</x:f>
        <x:v>1489.0342384887838</x:v>
      </x:c>
      <x:c r="V112" s="21" t="n">
        <x:f>U112*F112</x:f>
        <x:v>25313.582054309325</x:v>
      </x:c>
      <x:c r="W112" s="20" t="n">
        <x:f>IF(S112=0,0,U112/S112)</x:f>
        <x:v>0.4102022695561388</x:v>
      </x:c>
      <x:c r="X112" s="21" t="n">
        <x:f>IF(D112-G112&lt;=0,0,Q112/(D112-G112))</x:f>
        <x:v>95.48288075560806</x:v>
      </x:c>
      <x:c r="Y112" s="20" t="n">
        <x:f>IFERROR(U112/(XLOOKUP(A112,Lotes!$A$4:$A$8,Lotes!$D$4:$D$8,Premissas!$B$9)+Q112+R112),0)</x:f>
        <x:v>0.6954965208961298</x:v>
      </x:c>
      <x:c r="Z112" s="20" t="n">
        <x:f>IF(L112=0,Y112,Y112/MAX(1,L112/Premissas!$B$7))</x:f>
        <x:v>0.2677661605450099</x:v>
      </x:c>
      <x:c r="AA112" s="19" t="str">
        <x:f>IF(L112=0,"Venda imediata",IF(L112&lt;=60,"Baixo",IF(L112&lt;=120,"Médio","Alto")))</x:f>
        <x:v>Médio</x:v>
      </x:c>
      <x:c r="AB112" s="19" t="str">
        <x:f>IF(U112&lt;0,"Não fazer",IF(AA112="Alto","Risco seca",IF(Z112&gt;=0.03,"Bom giro","Margem ok")))</x:f>
        <x:v>Bom giro</x:v>
      </x:c>
    </x:row>
    <x:row r="113">
      <x:c r="A113" s="19" t="str">
        <x:v>Lote maior - otimista 9@</x:v>
      </x:c>
      <x:c r="B113" s="19" t="str">
        <x:v>Econômica</x:v>
      </x:c>
      <x:c r="C113" s="19" t="str">
        <x:v>Ótimo</x:v>
      </x:c>
      <x:c r="D113" s="19" t="n">
        <x:v>12</x:v>
      </x:c>
      <x:c r="E113" s="21" t="n">
        <x:f>Premissas!$B$6</x:f>
        <x:v>330</x:v>
      </x:c>
      <x:c r="F113" s="19" t="n">
        <x:f>XLOOKUP(A113,Lotes!$A$4:$A$8,Lotes!$B$4:$B$8,0)</x:f>
        <x:v>17</x:v>
      </x:c>
      <x:c r="G113" s="23" t="n">
        <x:f>XLOOKUP(A113,Lotes!$A$4:$A$8,Lotes!$C$4:$C$8,0)</x:f>
        <x:v>9</x:v>
      </x:c>
      <x:c r="H113" s="23" t="n">
        <x:f>G113*Premissas!$B$5/Premissas!$B$4</x:f>
        <x:v>245.45454545454544</x:v>
      </x:c>
      <x:c r="I113" s="23" t="n">
        <x:f>D113*Premissas!$B$5/Premissas!$B$4</x:f>
        <x:v>327.27272727272725</x:v>
      </x:c>
      <x:c r="J113" s="23" t="n">
        <x:f>MAX(0,I113-H113)</x:f>
        <x:v>81.81818181818181</x:v>
      </x:c>
      <x:c r="K113" s="23" t="n">
        <x:f>SUMIFS('Cenários de GMD'!$C$4:$C$19,'Cenários de GMD'!$A$4:$A$19,B113,'Cenários de GMD'!$B$4:$B$19,C113)</x:f>
        <x:v>0.7</x:v>
      </x:c>
      <x:c r="L113" s="23" t="n">
        <x:f>IF(J113=0,0,J113/K113)</x:f>
        <x:v>116.88311688311688</x:v>
      </x:c>
      <x:c r="M113" s="23" t="n">
        <x:f>((H113+I113)/2)*SUMIFS('Cenários de GMD'!$D$4:$D$19,'Cenários de GMD'!$A$4:$A$19,B113,'Cenários de GMD'!$B$4:$B$19,C113)</x:f>
        <x:v>0.2863636363636364</x:v>
      </x:c>
      <x:c r="N113" s="23" t="n">
        <x:f>((H113+I113)/2)*SUMIFS('Cenários de GMD'!$E$4:$E$19,'Cenários de GMD'!$A$4:$A$19,B113,'Cenários de GMD'!$B$4:$B$19,C113)</x:f>
        <x:v>0.8590909090909091</x:v>
      </x:c>
      <x:c r="O113" s="21" t="n">
        <x:f>M113*Insumos!$E$4+N113*Insumos!$E$5</x:f>
        <x:v>2.5732636363636368</x:v>
      </x:c>
      <x:c r="P113" s="21" t="n">
        <x:f>O113*Premissas!$B$7</x:f>
        <x:v>77.1979090909091</x:v>
      </x:c>
      <x:c r="Q113" s="21" t="n">
        <x:f>O113*L113</x:f>
        <x:v>300.7710743801653</x:v>
      </x:c>
      <x:c r="R113" s="21" t="n">
        <x:f>Premissas!$B$7*Premissas!$B$8*L113</x:f>
        <x:v>0</x:v>
      </x:c>
      <x:c r="S113" s="21" t="n">
        <x:f>D113*E113</x:f>
        <x:v>3960</x:v>
      </x:c>
      <x:c r="T113" s="21" t="n">
        <x:f>S113*F113</x:f>
        <x:v>67320</x:v>
      </x:c>
      <x:c r="U113" s="21" t="n">
        <x:f>S113-XLOOKUP(A113,Lotes!$A$4:$A$8,Lotes!$D$4:$D$8,Premissas!$B$9)-Q113-R113</x:f>
        <x:v>1709.2289256198346</x:v>
      </x:c>
      <x:c r="V113" s="21" t="n">
        <x:f>U113*F113</x:f>
        <x:v>29056.89173553719</x:v>
      </x:c>
      <x:c r="W113" s="20" t="n">
        <x:f>IF(S113=0,0,U113/S113)</x:f>
        <x:v>0.4316234660656148</x:v>
      </x:c>
      <x:c r="X113" s="21" t="n">
        <x:f>IF(D113-G113&lt;=0,0,Q113/(D113-G113))</x:f>
        <x:v>100.25702479338844</x:v>
      </x:c>
      <x:c r="Y113" s="20" t="n">
        <x:f>IFERROR(U113/(XLOOKUP(A113,Lotes!$A$4:$A$8,Lotes!$D$4:$D$8,Premissas!$B$9)+Q113+R113),0)</x:f>
        <x:v>0.7593970551138948</x:v>
      </x:c>
      <x:c r="Z113" s="20" t="n">
        <x:f>IF(L113=0,Y113,Y113/MAX(1,L113/Premissas!$B$7))</x:f>
        <x:v>0.1949119108125663</x:v>
      </x:c>
      <x:c r="AA113" s="19" t="str">
        <x:f>IF(L113=0,"Venda imediata",IF(L113&lt;=60,"Baixo",IF(L113&lt;=120,"Médio","Alto")))</x:f>
        <x:v>Médio</x:v>
      </x:c>
      <x:c r="AB113" s="19" t="str">
        <x:f>IF(U113&lt;0,"Não fazer",IF(AA113="Alto","Risco seca",IF(Z113&gt;=0.03,"Bom giro","Margem ok")))</x:f>
        <x:v>Bom giro</x:v>
      </x:c>
    </x:row>
    <x:row r="114">
      <x:c r="A114" s="19" t="str">
        <x:v>Lote maior - otimista 9@</x:v>
      </x:c>
      <x:c r="B114" s="19" t="str">
        <x:v>Intermediária</x:v>
      </x:c>
      <x:c r="C114" s="19" t="str">
        <x:v>Conservador</x:v>
      </x:c>
      <x:c r="D114" s="19" t="n">
        <x:v>8.5</x:v>
      </x:c>
      <x:c r="E114" s="21" t="n">
        <x:f>Premissas!$B$6</x:f>
        <x:v>330</x:v>
      </x:c>
      <x:c r="F114" s="19" t="n">
        <x:f>XLOOKUP(A114,Lotes!$A$4:$A$8,Lotes!$B$4:$B$8,0)</x:f>
        <x:v>17</x:v>
      </x:c>
      <x:c r="G114" s="23" t="n">
        <x:f>XLOOKUP(A114,Lotes!$A$4:$A$8,Lotes!$C$4:$C$8,0)</x:f>
        <x:v>9</x:v>
      </x:c>
      <x:c r="H114" s="23" t="n">
        <x:f>G114*Premissas!$B$5/Premissas!$B$4</x:f>
        <x:v>245.45454545454544</x:v>
      </x:c>
      <x:c r="I114" s="23" t="n">
        <x:f>D114*Premissas!$B$5/Premissas!$B$4</x:f>
        <x:v>231.8181818181818</x:v>
      </x:c>
      <x:c r="J114" s="23" t="n">
        <x:f>MAX(0,I114-H114)</x:f>
        <x:v>0</x:v>
      </x:c>
      <x:c r="K114" s="23" t="n">
        <x:f>SUMIFS('Cenários de GMD'!$C$4:$C$19,'Cenários de GMD'!$A$4:$A$19,B114,'Cenários de GMD'!$B$4:$B$19,C114)</x:f>
        <x:v>0.55</x:v>
      </x:c>
      <x:c r="L114" s="23" t="n">
        <x:f>IF(J114=0,0,J114/K114)</x:f>
        <x:v>0</x:v>
      </x:c>
      <x:c r="M114" s="23" t="n">
        <x:f>((H114+I114)/2)*SUMIFS('Cenários de GMD'!$D$4:$D$19,'Cenários de GMD'!$A$4:$A$19,B114,'Cenários de GMD'!$B$4:$B$19,C114)</x:f>
        <x:v>0.23863636363636362</x:v>
      </x:c>
      <x:c r="N114" s="23" t="n">
        <x:f>((H114+I114)/2)*SUMIFS('Cenários de GMD'!$E$4:$E$19,'Cenários de GMD'!$A$4:$A$19,B114,'Cenários de GMD'!$B$4:$B$19,C114)</x:f>
        <x:v>1.1931818181818181</x:v>
      </x:c>
      <x:c r="O114" s="21" t="n">
        <x:f>M114*Insumos!$E$4+N114*Insumos!$E$5</x:f>
        <x:v>3.0909772727272724</x:v>
      </x:c>
      <x:c r="P114" s="21" t="n">
        <x:f>O114*Premissas!$B$7</x:f>
        <x:v>92.72931818181817</x:v>
      </x:c>
      <x:c r="Q114" s="21" t="n">
        <x:f>O114*L114</x:f>
        <x:v>0</x:v>
      </x:c>
      <x:c r="R114" s="21" t="n">
        <x:f>Premissas!$B$7*Premissas!$B$8*L114</x:f>
        <x:v>0</x:v>
      </x:c>
      <x:c r="S114" s="21" t="n">
        <x:f>D114*E114</x:f>
        <x:v>2805</x:v>
      </x:c>
      <x:c r="T114" s="21" t="n">
        <x:f>S114*F114</x:f>
        <x:v>47685</x:v>
      </x:c>
      <x:c r="U114" s="21" t="n">
        <x:f>S114-XLOOKUP(A114,Lotes!$A$4:$A$8,Lotes!$D$4:$D$8,Premissas!$B$9)-Q114-R114</x:f>
        <x:v>855</x:v>
      </x:c>
      <x:c r="V114" s="21" t="n">
        <x:f>U114*F114</x:f>
        <x:v>14535</x:v>
      </x:c>
      <x:c r="W114" s="20" t="n">
        <x:f>IF(S114=0,0,U114/S114)</x:f>
        <x:v>0.3048128342245989</x:v>
      </x:c>
      <x:c r="X114" s="21" t="n">
        <x:f>IF(D114-G114&lt;=0,0,Q114/(D114-G114))</x:f>
        <x:v>0</x:v>
      </x:c>
      <x:c r="Y114" s="20" t="n">
        <x:f>IFERROR(U114/(XLOOKUP(A114,Lotes!$A$4:$A$8,Lotes!$D$4:$D$8,Premissas!$B$9)+Q114+R114),0)</x:f>
        <x:v>0.43846153846153846</x:v>
      </x:c>
      <x:c r="Z114" s="20" t="n">
        <x:f>IF(L114=0,Y114,Y114/MAX(1,L114/Premissas!$B$7))</x:f>
        <x:v>0.43846153846153846</x:v>
      </x:c>
      <x:c r="AA114" s="19" t="str">
        <x:f>IF(L114=0,"Venda imediata",IF(L114&lt;=60,"Baixo",IF(L114&lt;=120,"Médio","Alto")))</x:f>
        <x:v>Venda imediata</x:v>
      </x:c>
      <x:c r="AB114" s="19" t="str">
        <x:f>IF(U114&lt;0,"Não fazer",IF(AA114="Alto","Risco seca",IF(Z114&gt;=0.03,"Bom giro","Margem ok")))</x:f>
        <x:v>Bom giro</x:v>
      </x:c>
    </x:row>
    <x:row r="115">
      <x:c r="A115" s="19" t="str">
        <x:v>Lote maior - otimista 9@</x:v>
      </x:c>
      <x:c r="B115" s="19" t="str">
        <x:v>Intermediária</x:v>
      </x:c>
      <x:c r="C115" s="19" t="str">
        <x:v>Conservador</x:v>
      </x:c>
      <x:c r="D115" s="19" t="n">
        <x:v>9</x:v>
      </x:c>
      <x:c r="E115" s="21" t="n">
        <x:f>Premissas!$B$6</x:f>
        <x:v>330</x:v>
      </x:c>
      <x:c r="F115" s="19" t="n">
        <x:f>XLOOKUP(A115,Lotes!$A$4:$A$8,Lotes!$B$4:$B$8,0)</x:f>
        <x:v>17</x:v>
      </x:c>
      <x:c r="G115" s="23" t="n">
        <x:f>XLOOKUP(A115,Lotes!$A$4:$A$8,Lotes!$C$4:$C$8,0)</x:f>
        <x:v>9</x:v>
      </x:c>
      <x:c r="H115" s="23" t="n">
        <x:f>G115*Premissas!$B$5/Premissas!$B$4</x:f>
        <x:v>245.45454545454544</x:v>
      </x:c>
      <x:c r="I115" s="23" t="n">
        <x:f>D115*Premissas!$B$5/Premissas!$B$4</x:f>
        <x:v>245.45454545454544</x:v>
      </x:c>
      <x:c r="J115" s="23" t="n">
        <x:f>MAX(0,I115-H115)</x:f>
        <x:v>0</x:v>
      </x:c>
      <x:c r="K115" s="23" t="n">
        <x:f>SUMIFS('Cenários de GMD'!$C$4:$C$19,'Cenários de GMD'!$A$4:$A$19,B115,'Cenários de GMD'!$B$4:$B$19,C115)</x:f>
        <x:v>0.55</x:v>
      </x:c>
      <x:c r="L115" s="23" t="n">
        <x:f>IF(J115=0,0,J115/K115)</x:f>
        <x:v>0</x:v>
      </x:c>
      <x:c r="M115" s="23" t="n">
        <x:f>((H115+I115)/2)*SUMIFS('Cenários de GMD'!$D$4:$D$19,'Cenários de GMD'!$A$4:$A$19,B115,'Cenários de GMD'!$B$4:$B$19,C115)</x:f>
        <x:v>0.24545454545454545</x:v>
      </x:c>
      <x:c r="N115" s="23" t="n">
        <x:f>((H115+I115)/2)*SUMIFS('Cenários de GMD'!$E$4:$E$19,'Cenários de GMD'!$A$4:$A$19,B115,'Cenários de GMD'!$B$4:$B$19,C115)</x:f>
        <x:v>1.2272727272727273</x:v>
      </x:c>
      <x:c r="O115" s="21" t="n">
        <x:f>M115*Insumos!$E$4+N115*Insumos!$E$5</x:f>
        <x:v>3.179290909090909</x:v>
      </x:c>
      <x:c r="P115" s="21" t="n">
        <x:f>O115*Premissas!$B$7</x:f>
        <x:v>95.37872727272728</x:v>
      </x:c>
      <x:c r="Q115" s="21" t="n">
        <x:f>O115*L115</x:f>
        <x:v>0</x:v>
      </x:c>
      <x:c r="R115" s="21" t="n">
        <x:f>Premissas!$B$7*Premissas!$B$8*L115</x:f>
        <x:v>0</x:v>
      </x:c>
      <x:c r="S115" s="21" t="n">
        <x:f>D115*E115</x:f>
        <x:v>2970</x:v>
      </x:c>
      <x:c r="T115" s="21" t="n">
        <x:f>S115*F115</x:f>
        <x:v>50490</x:v>
      </x:c>
      <x:c r="U115" s="21" t="n">
        <x:f>S115-XLOOKUP(A115,Lotes!$A$4:$A$8,Lotes!$D$4:$D$8,Premissas!$B$9)-Q115-R115</x:f>
        <x:v>1020</x:v>
      </x:c>
      <x:c r="V115" s="21" t="n">
        <x:f>U115*F115</x:f>
        <x:v>17340</x:v>
      </x:c>
      <x:c r="W115" s="20" t="n">
        <x:f>IF(S115=0,0,U115/S115)</x:f>
        <x:v>0.3434343434343434</x:v>
      </x:c>
      <x:c r="X115" s="21" t="n">
        <x:f>IF(D115-G115&lt;=0,0,Q115/(D115-G115))</x:f>
        <x:v>0</x:v>
      </x:c>
      <x:c r="Y115" s="20" t="n">
        <x:f>IFERROR(U115/(XLOOKUP(A115,Lotes!$A$4:$A$8,Lotes!$D$4:$D$8,Premissas!$B$9)+Q115+R115),0)</x:f>
        <x:v>0.5230769230769231</x:v>
      </x:c>
      <x:c r="Z115" s="20" t="n">
        <x:f>IF(L115=0,Y115,Y115/MAX(1,L115/Premissas!$B$7))</x:f>
        <x:v>0.5230769230769231</x:v>
      </x:c>
      <x:c r="AA115" s="19" t="str">
        <x:f>IF(L115=0,"Venda imediata",IF(L115&lt;=60,"Baixo",IF(L115&lt;=120,"Médio","Alto")))</x:f>
        <x:v>Venda imediata</x:v>
      </x:c>
      <x:c r="AB115" s="19" t="str">
        <x:f>IF(U115&lt;0,"Não fazer",IF(AA115="Alto","Risco seca",IF(Z115&gt;=0.03,"Bom giro","Margem ok")))</x:f>
        <x:v>Bom giro</x:v>
      </x:c>
    </x:row>
    <x:row r="116">
      <x:c r="A116" s="19" t="str">
        <x:v>Lote maior - otimista 9@</x:v>
      </x:c>
      <x:c r="B116" s="19" t="str">
        <x:v>Intermediária</x:v>
      </x:c>
      <x:c r="C116" s="19" t="str">
        <x:v>Conservador</x:v>
      </x:c>
      <x:c r="D116" s="19" t="n">
        <x:v>10.5</x:v>
      </x:c>
      <x:c r="E116" s="21" t="n">
        <x:f>Premissas!$B$6</x:f>
        <x:v>330</x:v>
      </x:c>
      <x:c r="F116" s="19" t="n">
        <x:f>XLOOKUP(A116,Lotes!$A$4:$A$8,Lotes!$B$4:$B$8,0)</x:f>
        <x:v>17</x:v>
      </x:c>
      <x:c r="G116" s="23" t="n">
        <x:f>XLOOKUP(A116,Lotes!$A$4:$A$8,Lotes!$C$4:$C$8,0)</x:f>
        <x:v>9</x:v>
      </x:c>
      <x:c r="H116" s="23" t="n">
        <x:f>G116*Premissas!$B$5/Premissas!$B$4</x:f>
        <x:v>245.45454545454544</x:v>
      </x:c>
      <x:c r="I116" s="23" t="n">
        <x:f>D116*Premissas!$B$5/Premissas!$B$4</x:f>
        <x:v>286.3636363636363</x:v>
      </x:c>
      <x:c r="J116" s="23" t="n">
        <x:f>MAX(0,I116-H116)</x:f>
        <x:v>40.90909090909088</x:v>
      </x:c>
      <x:c r="K116" s="23" t="n">
        <x:f>SUMIFS('Cenários de GMD'!$C$4:$C$19,'Cenários de GMD'!$A$4:$A$19,B116,'Cenários de GMD'!$B$4:$B$19,C116)</x:f>
        <x:v>0.55</x:v>
      </x:c>
      <x:c r="L116" s="23" t="n">
        <x:f>IF(J116=0,0,J116/K116)</x:f>
        <x:v>74.38016528925614</x:v>
      </x:c>
      <x:c r="M116" s="23" t="n">
        <x:f>((H116+I116)/2)*SUMIFS('Cenários de GMD'!$D$4:$D$19,'Cenários de GMD'!$A$4:$A$19,B116,'Cenários de GMD'!$B$4:$B$19,C116)</x:f>
        <x:v>0.2659090909090909</x:v>
      </x:c>
      <x:c r="N116" s="23" t="n">
        <x:f>((H116+I116)/2)*SUMIFS('Cenários de GMD'!$E$4:$E$19,'Cenários de GMD'!$A$4:$A$19,B116,'Cenários de GMD'!$B$4:$B$19,C116)</x:f>
        <x:v>1.3295454545454544</x:v>
      </x:c>
      <x:c r="O116" s="21" t="n">
        <x:f>M116*Insumos!$E$4+N116*Insumos!$E$5</x:f>
        <x:v>3.4442318181818177</x:v>
      </x:c>
      <x:c r="P116" s="21" t="n">
        <x:f>O116*Premissas!$B$7</x:f>
        <x:v>103.32695454545453</x:v>
      </x:c>
      <x:c r="Q116" s="21" t="n">
        <x:f>O116*L116</x:f>
        <x:v>256.1825319308788</x:v>
      </x:c>
      <x:c r="R116" s="21" t="n">
        <x:f>Premissas!$B$7*Premissas!$B$8*L116</x:f>
        <x:v>0</x:v>
      </x:c>
      <x:c r="S116" s="21" t="n">
        <x:f>D116*E116</x:f>
        <x:v>3465</x:v>
      </x:c>
      <x:c r="T116" s="21" t="n">
        <x:f>S116*F116</x:f>
        <x:v>58905</x:v>
      </x:c>
      <x:c r="U116" s="21" t="n">
        <x:f>S116-XLOOKUP(A116,Lotes!$A$4:$A$8,Lotes!$D$4:$D$8,Premissas!$B$9)-Q116-R116</x:f>
        <x:v>1258.8174680691213</x:v>
      </x:c>
      <x:c r="V116" s="21" t="n">
        <x:f>U116*F116</x:f>
        <x:v>21399.896957175064</x:v>
      </x:c>
      <x:c r="W116" s="20" t="n">
        <x:f>IF(S116=0,0,U116/S116)</x:f>
        <x:v>0.363295084579833</x:v>
      </x:c>
      <x:c r="X116" s="21" t="n">
        <x:f>IF(D116-G116&lt;=0,0,Q116/(D116-G116))</x:f>
        <x:v>170.78835462058586</x:v>
      </x:c>
      <x:c r="Y116" s="20" t="n">
        <x:f>IFERROR(U116/(XLOOKUP(A116,Lotes!$A$4:$A$8,Lotes!$D$4:$D$8,Premissas!$B$9)+Q116+R116),0)</x:f>
        <x:v>0.5705862728263869</x:v>
      </x:c>
      <x:c r="Z116" s="20" t="n">
        <x:f>IF(L116=0,Y116,Y116/MAX(1,L116/Premissas!$B$7))</x:f>
        <x:v>0.23013646337330956</x:v>
      </x:c>
      <x:c r="AA116" s="19" t="str">
        <x:f>IF(L116=0,"Venda imediata",IF(L116&lt;=60,"Baixo",IF(L116&lt;=120,"Médio","Alto")))</x:f>
        <x:v>Médio</x:v>
      </x:c>
      <x:c r="AB116" s="19" t="str">
        <x:f>IF(U116&lt;0,"Não fazer",IF(AA116="Alto","Risco seca",IF(Z116&gt;=0.03,"Bom giro","Margem ok")))</x:f>
        <x:v>Bom giro</x:v>
      </x:c>
    </x:row>
    <x:row r="117">
      <x:c r="A117" s="19" t="str">
        <x:v>Lote maior - otimista 9@</x:v>
      </x:c>
      <x:c r="B117" s="19" t="str">
        <x:v>Intermediária</x:v>
      </x:c>
      <x:c r="C117" s="19" t="str">
        <x:v>Conservador</x:v>
      </x:c>
      <x:c r="D117" s="19" t="n">
        <x:v>11</x:v>
      </x:c>
      <x:c r="E117" s="21" t="n">
        <x:f>Premissas!$B$6</x:f>
        <x:v>330</x:v>
      </x:c>
      <x:c r="F117" s="19" t="n">
        <x:f>XLOOKUP(A117,Lotes!$A$4:$A$8,Lotes!$B$4:$B$8,0)</x:f>
        <x:v>17</x:v>
      </x:c>
      <x:c r="G117" s="23" t="n">
        <x:f>XLOOKUP(A117,Lotes!$A$4:$A$8,Lotes!$C$4:$C$8,0)</x:f>
        <x:v>9</x:v>
      </x:c>
      <x:c r="H117" s="23" t="n">
        <x:f>G117*Premissas!$B$5/Premissas!$B$4</x:f>
        <x:v>245.45454545454544</x:v>
      </x:c>
      <x:c r="I117" s="23" t="n">
        <x:f>D117*Premissas!$B$5/Premissas!$B$4</x:f>
        <x:v>300</x:v>
      </x:c>
      <x:c r="J117" s="23" t="n">
        <x:f>MAX(0,I117-H117)</x:f>
        <x:v>54.54545454545456</x:v>
      </x:c>
      <x:c r="K117" s="23" t="n">
        <x:f>SUMIFS('Cenários de GMD'!$C$4:$C$19,'Cenários de GMD'!$A$4:$A$19,B117,'Cenários de GMD'!$B$4:$B$19,C117)</x:f>
        <x:v>0.55</x:v>
      </x:c>
      <x:c r="L117" s="23" t="n">
        <x:f>IF(J117=0,0,J117/K117)</x:f>
        <x:v>99.17355371900828</x:v>
      </x:c>
      <x:c r="M117" s="23" t="n">
        <x:f>((H117+I117)/2)*SUMIFS('Cenários de GMD'!$D$4:$D$19,'Cenários de GMD'!$A$4:$A$19,B117,'Cenários de GMD'!$B$4:$B$19,C117)</x:f>
        <x:v>0.27272727272727276</x:v>
      </x:c>
      <x:c r="N117" s="23" t="n">
        <x:f>((H117+I117)/2)*SUMIFS('Cenários de GMD'!$E$4:$E$19,'Cenários de GMD'!$A$4:$A$19,B117,'Cenários de GMD'!$B$4:$B$19,C117)</x:f>
        <x:v>1.3636363636363638</x:v>
      </x:c>
      <x:c r="O117" s="21" t="n">
        <x:f>M117*Insumos!$E$4+N117*Insumos!$E$5</x:f>
        <x:v>3.5325454545454553</x:v>
      </x:c>
      <x:c r="P117" s="21" t="n">
        <x:f>O117*Premissas!$B$7</x:f>
        <x:v>105.97636363636366</x:v>
      </x:c>
      <x:c r="Q117" s="21" t="n">
        <x:f>O117*L117</x:f>
        <x:v>350.33508640120226</x:v>
      </x:c>
      <x:c r="R117" s="21" t="n">
        <x:f>Premissas!$B$7*Premissas!$B$8*L117</x:f>
        <x:v>0</x:v>
      </x:c>
      <x:c r="S117" s="21" t="n">
        <x:f>D117*E117</x:f>
        <x:v>3630</x:v>
      </x:c>
      <x:c r="T117" s="21" t="n">
        <x:f>S117*F117</x:f>
        <x:v>61710</x:v>
      </x:c>
      <x:c r="U117" s="21" t="n">
        <x:f>S117-XLOOKUP(A117,Lotes!$A$4:$A$8,Lotes!$D$4:$D$8,Premissas!$B$9)-Q117-R117</x:f>
        <x:v>1329.6649135987977</x:v>
      </x:c>
      <x:c r="V117" s="21" t="n">
        <x:f>U117*F117</x:f>
        <x:v>22604.30353117956</x:v>
      </x:c>
      <x:c r="W117" s="20" t="n">
        <x:f>IF(S117=0,0,U117/S117)</x:f>
        <x:v>0.36629887426964125</x:v>
      </x:c>
      <x:c r="X117" s="21" t="n">
        <x:f>IF(D117-G117&lt;=0,0,Q117/(D117-G117))</x:f>
        <x:v>175.16754320060113</x:v>
      </x:c>
      <x:c r="Y117" s="20" t="n">
        <x:f>IFERROR(U117/(XLOOKUP(A117,Lotes!$A$4:$A$8,Lotes!$D$4:$D$8,Premissas!$B$9)+Q117+R117),0)</x:f>
        <x:v>0.5780309666445224</x:v>
      </x:c>
      <x:c r="Z117" s="20" t="n">
        <x:f>IF(L117=0,Y117,Y117/MAX(1,L117/Premissas!$B$7))</x:f>
        <x:v>0.174854367409968</x:v>
      </x:c>
      <x:c r="AA117" s="19" t="str">
        <x:f>IF(L117=0,"Venda imediata",IF(L117&lt;=60,"Baixo",IF(L117&lt;=120,"Médio","Alto")))</x:f>
        <x:v>Médio</x:v>
      </x:c>
      <x:c r="AB117" s="19" t="str">
        <x:f>IF(U117&lt;0,"Não fazer",IF(AA117="Alto","Risco seca",IF(Z117&gt;=0.03,"Bom giro","Margem ok")))</x:f>
        <x:v>Bom giro</x:v>
      </x:c>
    </x:row>
    <x:row r="118">
      <x:c r="A118" s="19" t="str">
        <x:v>Lote maior - otimista 9@</x:v>
      </x:c>
      <x:c r="B118" s="19" t="str">
        <x:v>Intermediária</x:v>
      </x:c>
      <x:c r="C118" s="19" t="str">
        <x:v>Conservador</x:v>
      </x:c>
      <x:c r="D118" s="19" t="n">
        <x:v>12</x:v>
      </x:c>
      <x:c r="E118" s="21" t="n">
        <x:f>Premissas!$B$6</x:f>
        <x:v>330</x:v>
      </x:c>
      <x:c r="F118" s="19" t="n">
        <x:f>XLOOKUP(A118,Lotes!$A$4:$A$8,Lotes!$B$4:$B$8,0)</x:f>
        <x:v>17</x:v>
      </x:c>
      <x:c r="G118" s="23" t="n">
        <x:f>XLOOKUP(A118,Lotes!$A$4:$A$8,Lotes!$C$4:$C$8,0)</x:f>
        <x:v>9</x:v>
      </x:c>
      <x:c r="H118" s="23" t="n">
        <x:f>G118*Premissas!$B$5/Premissas!$B$4</x:f>
        <x:v>245.45454545454544</x:v>
      </x:c>
      <x:c r="I118" s="23" t="n">
        <x:f>D118*Premissas!$B$5/Premissas!$B$4</x:f>
        <x:v>327.27272727272725</x:v>
      </x:c>
      <x:c r="J118" s="23" t="n">
        <x:f>MAX(0,I118-H118)</x:f>
        <x:v>81.81818181818181</x:v>
      </x:c>
      <x:c r="K118" s="23" t="n">
        <x:f>SUMIFS('Cenários de GMD'!$C$4:$C$19,'Cenários de GMD'!$A$4:$A$19,B118,'Cenários de GMD'!$B$4:$B$19,C118)</x:f>
        <x:v>0.55</x:v>
      </x:c>
      <x:c r="L118" s="23" t="n">
        <x:f>IF(J118=0,0,J118/K118)</x:f>
        <x:v>148.76033057851237</x:v>
      </x:c>
      <x:c r="M118" s="23" t="n">
        <x:f>((H118+I118)/2)*SUMIFS('Cenários de GMD'!$D$4:$D$19,'Cenários de GMD'!$A$4:$A$19,B118,'Cenários de GMD'!$B$4:$B$19,C118)</x:f>
        <x:v>0.2863636363636364</x:v>
      </x:c>
      <x:c r="N118" s="23" t="n">
        <x:f>((H118+I118)/2)*SUMIFS('Cenários de GMD'!$E$4:$E$19,'Cenários de GMD'!$A$4:$A$19,B118,'Cenários de GMD'!$B$4:$B$19,C118)</x:f>
        <x:v>1.4318181818181819</x:v>
      </x:c>
      <x:c r="O118" s="21" t="n">
        <x:f>M118*Insumos!$E$4+N118*Insumos!$E$5</x:f>
        <x:v>3.7091727272727275</x:v>
      </x:c>
      <x:c r="P118" s="21" t="n">
        <x:f>O118*Premissas!$B$7</x:f>
        <x:v>111.27518181818182</x:v>
      </x:c>
      <x:c r="Q118" s="21" t="n">
        <x:f>O118*L118</x:f>
        <x:v>551.7777610818932</x:v>
      </x:c>
      <x:c r="R118" s="21" t="n">
        <x:f>Premissas!$B$7*Premissas!$B$8*L118</x:f>
        <x:v>0</x:v>
      </x:c>
      <x:c r="S118" s="21" t="n">
        <x:f>D118*E118</x:f>
        <x:v>3960</x:v>
      </x:c>
      <x:c r="T118" s="21" t="n">
        <x:f>S118*F118</x:f>
        <x:v>67320</x:v>
      </x:c>
      <x:c r="U118" s="21" t="n">
        <x:f>S118-XLOOKUP(A118,Lotes!$A$4:$A$8,Lotes!$D$4:$D$8,Premissas!$B$9)-Q118-R118</x:f>
        <x:v>1458.2222389181068</x:v>
      </x:c>
      <x:c r="V118" s="21" t="n">
        <x:f>U118*F118</x:f>
        <x:v>24789.778061607816</x:v>
      </x:c>
      <x:c r="W118" s="20" t="n">
        <x:f>IF(S118=0,0,U118/S118)</x:f>
        <x:v>0.36823793912073405</x:v>
      </x:c>
      <x:c r="X118" s="21" t="n">
        <x:f>IF(D118-G118&lt;=0,0,Q118/(D118-G118))</x:f>
        <x:v>183.92592036063107</x:v>
      </x:c>
      <x:c r="Y118" s="20" t="n">
        <x:f>IFERROR(U118/(XLOOKUP(A118,Lotes!$A$4:$A$8,Lotes!$D$4:$D$8,Premissas!$B$9)+Q118+R118),0)</x:f>
        <x:v>0.582874410989847</x:v>
      </x:c>
      <x:c r="Z118" s="20" t="n">
        <x:f>IF(L118=0,Y118,Y118/MAX(1,L118/Premissas!$B$7))</x:f>
        <x:v>0.11754633954961918</x:v>
      </x:c>
      <x:c r="AA118" s="19" t="str">
        <x:f>IF(L118=0,"Venda imediata",IF(L118&lt;=60,"Baixo",IF(L118&lt;=120,"Médio","Alto")))</x:f>
        <x:v>Alto</x:v>
      </x:c>
      <x:c r="AB118" s="19" t="str">
        <x:f>IF(U118&lt;0,"Não fazer",IF(AA118="Alto","Risco seca",IF(Z118&gt;=0.03,"Bom giro","Margem ok")))</x:f>
        <x:v>Risco seca</x:v>
      </x:c>
    </x:row>
    <x:row r="119">
      <x:c r="A119" s="19" t="str">
        <x:v>Lote maior - otimista 9@</x:v>
      </x:c>
      <x:c r="B119" s="19" t="str">
        <x:v>Intermediária</x:v>
      </x:c>
      <x:c r="C119" s="19" t="str">
        <x:v>Base</x:v>
      </x:c>
      <x:c r="D119" s="19" t="n">
        <x:v>8.5</x:v>
      </x:c>
      <x:c r="E119" s="21" t="n">
        <x:f>Premissas!$B$6</x:f>
        <x:v>330</x:v>
      </x:c>
      <x:c r="F119" s="19" t="n">
        <x:f>XLOOKUP(A119,Lotes!$A$4:$A$8,Lotes!$B$4:$B$8,0)</x:f>
        <x:v>17</x:v>
      </x:c>
      <x:c r="G119" s="23" t="n">
        <x:f>XLOOKUP(A119,Lotes!$A$4:$A$8,Lotes!$C$4:$C$8,0)</x:f>
        <x:v>9</x:v>
      </x:c>
      <x:c r="H119" s="23" t="n">
        <x:f>G119*Premissas!$B$5/Premissas!$B$4</x:f>
        <x:v>245.45454545454544</x:v>
      </x:c>
      <x:c r="I119" s="23" t="n">
        <x:f>D119*Premissas!$B$5/Premissas!$B$4</x:f>
        <x:v>231.8181818181818</x:v>
      </x:c>
      <x:c r="J119" s="23" t="n">
        <x:f>MAX(0,I119-H119)</x:f>
        <x:v>0</x:v>
      </x:c>
      <x:c r="K119" s="23" t="n">
        <x:f>SUMIFS('Cenários de GMD'!$C$4:$C$19,'Cenários de GMD'!$A$4:$A$19,B119,'Cenários de GMD'!$B$4:$B$19,C119)</x:f>
        <x:v>0.7</x:v>
      </x:c>
      <x:c r="L119" s="23" t="n">
        <x:f>IF(J119=0,0,J119/K119)</x:f>
        <x:v>0</x:v>
      </x:c>
      <x:c r="M119" s="23" t="n">
        <x:f>((H119+I119)/2)*SUMIFS('Cenários de GMD'!$D$4:$D$19,'Cenários de GMD'!$A$4:$A$19,B119,'Cenários de GMD'!$B$4:$B$19,C119)</x:f>
        <x:v>0.23863636363636362</x:v>
      </x:c>
      <x:c r="N119" s="23" t="n">
        <x:f>((H119+I119)/2)*SUMIFS('Cenários de GMD'!$E$4:$E$19,'Cenários de GMD'!$A$4:$A$19,B119,'Cenários de GMD'!$B$4:$B$19,C119)</x:f>
        <x:v>1.1931818181818181</x:v>
      </x:c>
      <x:c r="O119" s="21" t="n">
        <x:f>M119*Insumos!$E$4+N119*Insumos!$E$5</x:f>
        <x:v>3.0909772727272724</x:v>
      </x:c>
      <x:c r="P119" s="21" t="n">
        <x:f>O119*Premissas!$B$7</x:f>
        <x:v>92.72931818181817</x:v>
      </x:c>
      <x:c r="Q119" s="21" t="n">
        <x:f>O119*L119</x:f>
        <x:v>0</x:v>
      </x:c>
      <x:c r="R119" s="21" t="n">
        <x:f>Premissas!$B$7*Premissas!$B$8*L119</x:f>
        <x:v>0</x:v>
      </x:c>
      <x:c r="S119" s="21" t="n">
        <x:f>D119*E119</x:f>
        <x:v>2805</x:v>
      </x:c>
      <x:c r="T119" s="21" t="n">
        <x:f>S119*F119</x:f>
        <x:v>47685</x:v>
      </x:c>
      <x:c r="U119" s="21" t="n">
        <x:f>S119-XLOOKUP(A119,Lotes!$A$4:$A$8,Lotes!$D$4:$D$8,Premissas!$B$9)-Q119-R119</x:f>
        <x:v>855</x:v>
      </x:c>
      <x:c r="V119" s="21" t="n">
        <x:f>U119*F119</x:f>
        <x:v>14535</x:v>
      </x:c>
      <x:c r="W119" s="20" t="n">
        <x:f>IF(S119=0,0,U119/S119)</x:f>
        <x:v>0.3048128342245989</x:v>
      </x:c>
      <x:c r="X119" s="21" t="n">
        <x:f>IF(D119-G119&lt;=0,0,Q119/(D119-G119))</x:f>
        <x:v>0</x:v>
      </x:c>
      <x:c r="Y119" s="20" t="n">
        <x:f>IFERROR(U119/(XLOOKUP(A119,Lotes!$A$4:$A$8,Lotes!$D$4:$D$8,Premissas!$B$9)+Q119+R119),0)</x:f>
        <x:v>0.43846153846153846</x:v>
      </x:c>
      <x:c r="Z119" s="20" t="n">
        <x:f>IF(L119=0,Y119,Y119/MAX(1,L119/Premissas!$B$7))</x:f>
        <x:v>0.43846153846153846</x:v>
      </x:c>
      <x:c r="AA119" s="19" t="str">
        <x:f>IF(L119=0,"Venda imediata",IF(L119&lt;=60,"Baixo",IF(L119&lt;=120,"Médio","Alto")))</x:f>
        <x:v>Venda imediata</x:v>
      </x:c>
      <x:c r="AB119" s="19" t="str">
        <x:f>IF(U119&lt;0,"Não fazer",IF(AA119="Alto","Risco seca",IF(Z119&gt;=0.03,"Bom giro","Margem ok")))</x:f>
        <x:v>Bom giro</x:v>
      </x:c>
    </x:row>
    <x:row r="120">
      <x:c r="A120" s="19" t="str">
        <x:v>Lote maior - otimista 9@</x:v>
      </x:c>
      <x:c r="B120" s="19" t="str">
        <x:v>Intermediária</x:v>
      </x:c>
      <x:c r="C120" s="19" t="str">
        <x:v>Base</x:v>
      </x:c>
      <x:c r="D120" s="19" t="n">
        <x:v>9</x:v>
      </x:c>
      <x:c r="E120" s="21" t="n">
        <x:f>Premissas!$B$6</x:f>
        <x:v>330</x:v>
      </x:c>
      <x:c r="F120" s="19" t="n">
        <x:f>XLOOKUP(A120,Lotes!$A$4:$A$8,Lotes!$B$4:$B$8,0)</x:f>
        <x:v>17</x:v>
      </x:c>
      <x:c r="G120" s="23" t="n">
        <x:f>XLOOKUP(A120,Lotes!$A$4:$A$8,Lotes!$C$4:$C$8,0)</x:f>
        <x:v>9</x:v>
      </x:c>
      <x:c r="H120" s="23" t="n">
        <x:f>G120*Premissas!$B$5/Premissas!$B$4</x:f>
        <x:v>245.45454545454544</x:v>
      </x:c>
      <x:c r="I120" s="23" t="n">
        <x:f>D120*Premissas!$B$5/Premissas!$B$4</x:f>
        <x:v>245.45454545454544</x:v>
      </x:c>
      <x:c r="J120" s="23" t="n">
        <x:f>MAX(0,I120-H120)</x:f>
        <x:v>0</x:v>
      </x:c>
      <x:c r="K120" s="23" t="n">
        <x:f>SUMIFS('Cenários de GMD'!$C$4:$C$19,'Cenários de GMD'!$A$4:$A$19,B120,'Cenários de GMD'!$B$4:$B$19,C120)</x:f>
        <x:v>0.7</x:v>
      </x:c>
      <x:c r="L120" s="23" t="n">
        <x:f>IF(J120=0,0,J120/K120)</x:f>
        <x:v>0</x:v>
      </x:c>
      <x:c r="M120" s="23" t="n">
        <x:f>((H120+I120)/2)*SUMIFS('Cenários de GMD'!$D$4:$D$19,'Cenários de GMD'!$A$4:$A$19,B120,'Cenários de GMD'!$B$4:$B$19,C120)</x:f>
        <x:v>0.24545454545454545</x:v>
      </x:c>
      <x:c r="N120" s="23" t="n">
        <x:f>((H120+I120)/2)*SUMIFS('Cenários de GMD'!$E$4:$E$19,'Cenários de GMD'!$A$4:$A$19,B120,'Cenários de GMD'!$B$4:$B$19,C120)</x:f>
        <x:v>1.2272727272727273</x:v>
      </x:c>
      <x:c r="O120" s="21" t="n">
        <x:f>M120*Insumos!$E$4+N120*Insumos!$E$5</x:f>
        <x:v>3.179290909090909</x:v>
      </x:c>
      <x:c r="P120" s="21" t="n">
        <x:f>O120*Premissas!$B$7</x:f>
        <x:v>95.37872727272728</x:v>
      </x:c>
      <x:c r="Q120" s="21" t="n">
        <x:f>O120*L120</x:f>
        <x:v>0</x:v>
      </x:c>
      <x:c r="R120" s="21" t="n">
        <x:f>Premissas!$B$7*Premissas!$B$8*L120</x:f>
        <x:v>0</x:v>
      </x:c>
      <x:c r="S120" s="21" t="n">
        <x:f>D120*E120</x:f>
        <x:v>2970</x:v>
      </x:c>
      <x:c r="T120" s="21" t="n">
        <x:f>S120*F120</x:f>
        <x:v>50490</x:v>
      </x:c>
      <x:c r="U120" s="21" t="n">
        <x:f>S120-XLOOKUP(A120,Lotes!$A$4:$A$8,Lotes!$D$4:$D$8,Premissas!$B$9)-Q120-R120</x:f>
        <x:v>1020</x:v>
      </x:c>
      <x:c r="V120" s="21" t="n">
        <x:f>U120*F120</x:f>
        <x:v>17340</x:v>
      </x:c>
      <x:c r="W120" s="20" t="n">
        <x:f>IF(S120=0,0,U120/S120)</x:f>
        <x:v>0.3434343434343434</x:v>
      </x:c>
      <x:c r="X120" s="21" t="n">
        <x:f>IF(D120-G120&lt;=0,0,Q120/(D120-G120))</x:f>
        <x:v>0</x:v>
      </x:c>
      <x:c r="Y120" s="20" t="n">
        <x:f>IFERROR(U120/(XLOOKUP(A120,Lotes!$A$4:$A$8,Lotes!$D$4:$D$8,Premissas!$B$9)+Q120+R120),0)</x:f>
        <x:v>0.5230769230769231</x:v>
      </x:c>
      <x:c r="Z120" s="20" t="n">
        <x:f>IF(L120=0,Y120,Y120/MAX(1,L120/Premissas!$B$7))</x:f>
        <x:v>0.5230769230769231</x:v>
      </x:c>
      <x:c r="AA120" s="19" t="str">
        <x:f>IF(L120=0,"Venda imediata",IF(L120&lt;=60,"Baixo",IF(L120&lt;=120,"Médio","Alto")))</x:f>
        <x:v>Venda imediata</x:v>
      </x:c>
      <x:c r="AB120" s="19" t="str">
        <x:f>IF(U120&lt;0,"Não fazer",IF(AA120="Alto","Risco seca",IF(Z120&gt;=0.03,"Bom giro","Margem ok")))</x:f>
        <x:v>Bom giro</x:v>
      </x:c>
    </x:row>
    <x:row r="121">
      <x:c r="A121" s="19" t="str">
        <x:v>Lote maior - otimista 9@</x:v>
      </x:c>
      <x:c r="B121" s="19" t="str">
        <x:v>Intermediária</x:v>
      </x:c>
      <x:c r="C121" s="19" t="str">
        <x:v>Base</x:v>
      </x:c>
      <x:c r="D121" s="19" t="n">
        <x:v>10.5</x:v>
      </x:c>
      <x:c r="E121" s="21" t="n">
        <x:f>Premissas!$B$6</x:f>
        <x:v>330</x:v>
      </x:c>
      <x:c r="F121" s="19" t="n">
        <x:f>XLOOKUP(A121,Lotes!$A$4:$A$8,Lotes!$B$4:$B$8,0)</x:f>
        <x:v>17</x:v>
      </x:c>
      <x:c r="G121" s="23" t="n">
        <x:f>XLOOKUP(A121,Lotes!$A$4:$A$8,Lotes!$C$4:$C$8,0)</x:f>
        <x:v>9</x:v>
      </x:c>
      <x:c r="H121" s="23" t="n">
        <x:f>G121*Premissas!$B$5/Premissas!$B$4</x:f>
        <x:v>245.45454545454544</x:v>
      </x:c>
      <x:c r="I121" s="23" t="n">
        <x:f>D121*Premissas!$B$5/Premissas!$B$4</x:f>
        <x:v>286.3636363636363</x:v>
      </x:c>
      <x:c r="J121" s="23" t="n">
        <x:f>MAX(0,I121-H121)</x:f>
        <x:v>40.90909090909088</x:v>
      </x:c>
      <x:c r="K121" s="23" t="n">
        <x:f>SUMIFS('Cenários de GMD'!$C$4:$C$19,'Cenários de GMD'!$A$4:$A$19,B121,'Cenários de GMD'!$B$4:$B$19,C121)</x:f>
        <x:v>0.7</x:v>
      </x:c>
      <x:c r="L121" s="23" t="n">
        <x:f>IF(J121=0,0,J121/K121)</x:f>
        <x:v>58.4415584415584</x:v>
      </x:c>
      <x:c r="M121" s="23" t="n">
        <x:f>((H121+I121)/2)*SUMIFS('Cenários de GMD'!$D$4:$D$19,'Cenários de GMD'!$A$4:$A$19,B121,'Cenários de GMD'!$B$4:$B$19,C121)</x:f>
        <x:v>0.2659090909090909</x:v>
      </x:c>
      <x:c r="N121" s="23" t="n">
        <x:f>((H121+I121)/2)*SUMIFS('Cenários de GMD'!$E$4:$E$19,'Cenários de GMD'!$A$4:$A$19,B121,'Cenários de GMD'!$B$4:$B$19,C121)</x:f>
        <x:v>1.3295454545454544</x:v>
      </x:c>
      <x:c r="O121" s="21" t="n">
        <x:f>M121*Insumos!$E$4+N121*Insumos!$E$5</x:f>
        <x:v>3.4442318181818177</x:v>
      </x:c>
      <x:c r="P121" s="21" t="n">
        <x:f>O121*Premissas!$B$7</x:f>
        <x:v>103.32695454545453</x:v>
      </x:c>
      <x:c r="Q121" s="21" t="n">
        <x:f>O121*L121</x:f>
        <x:v>201.28627508854765</x:v>
      </x:c>
      <x:c r="R121" s="21" t="n">
        <x:f>Premissas!$B$7*Premissas!$B$8*L121</x:f>
        <x:v>0</x:v>
      </x:c>
      <x:c r="S121" s="21" t="n">
        <x:f>D121*E121</x:f>
        <x:v>3465</x:v>
      </x:c>
      <x:c r="T121" s="21" t="n">
        <x:f>S121*F121</x:f>
        <x:v>58905</x:v>
      </x:c>
      <x:c r="U121" s="21" t="n">
        <x:f>S121-XLOOKUP(A121,Lotes!$A$4:$A$8,Lotes!$D$4:$D$8,Premissas!$B$9)-Q121-R121</x:f>
        <x:v>1313.7137249114523</x:v>
      </x:c>
      <x:c r="V121" s="21" t="n">
        <x:f>U121*F121</x:f>
        <x:v>22333.13332349469</x:v>
      </x:c>
      <x:c r="W121" s="20" t="n">
        <x:f>IF(S121=0,0,U121/S121)</x:f>
        <x:v>0.3791381601476053</x:v>
      </x:c>
      <x:c r="X121" s="21" t="n">
        <x:f>IF(D121-G121&lt;=0,0,Q121/(D121-G121))</x:f>
        <x:v>134.19085005903176</x:v>
      </x:c>
      <x:c r="Y121" s="20" t="n">
        <x:f>IFERROR(U121/(XLOOKUP(A121,Lotes!$A$4:$A$8,Lotes!$D$4:$D$8,Premissas!$B$9)+Q121+R121),0)</x:f>
        <x:v>0.6106642989006097</x:v>
      </x:c>
      <x:c r="Z121" s="20" t="n">
        <x:f>IF(L121=0,Y121,Y121/MAX(1,L121/Premissas!$B$7))</x:f>
        <x:v>0.3134743401023132</x:v>
      </x:c>
      <x:c r="AA121" s="19" t="str">
        <x:f>IF(L121=0,"Venda imediata",IF(L121&lt;=60,"Baixo",IF(L121&lt;=120,"Médio","Alto")))</x:f>
        <x:v>Baixo</x:v>
      </x:c>
      <x:c r="AB121" s="19" t="str">
        <x:f>IF(U121&lt;0,"Não fazer",IF(AA121="Alto","Risco seca",IF(Z121&gt;=0.03,"Bom giro","Margem ok")))</x:f>
        <x:v>Bom giro</x:v>
      </x:c>
    </x:row>
    <x:row r="122">
      <x:c r="A122" s="19" t="str">
        <x:v>Lote maior - otimista 9@</x:v>
      </x:c>
      <x:c r="B122" s="19" t="str">
        <x:v>Intermediária</x:v>
      </x:c>
      <x:c r="C122" s="19" t="str">
        <x:v>Base</x:v>
      </x:c>
      <x:c r="D122" s="19" t="n">
        <x:v>11</x:v>
      </x:c>
      <x:c r="E122" s="21" t="n">
        <x:f>Premissas!$B$6</x:f>
        <x:v>330</x:v>
      </x:c>
      <x:c r="F122" s="19" t="n">
        <x:f>XLOOKUP(A122,Lotes!$A$4:$A$8,Lotes!$B$4:$B$8,0)</x:f>
        <x:v>17</x:v>
      </x:c>
      <x:c r="G122" s="23" t="n">
        <x:f>XLOOKUP(A122,Lotes!$A$4:$A$8,Lotes!$C$4:$C$8,0)</x:f>
        <x:v>9</x:v>
      </x:c>
      <x:c r="H122" s="23" t="n">
        <x:f>G122*Premissas!$B$5/Premissas!$B$4</x:f>
        <x:v>245.45454545454544</x:v>
      </x:c>
      <x:c r="I122" s="23" t="n">
        <x:f>D122*Premissas!$B$5/Premissas!$B$4</x:f>
        <x:v>300</x:v>
      </x:c>
      <x:c r="J122" s="23" t="n">
        <x:f>MAX(0,I122-H122)</x:f>
        <x:v>54.54545454545456</x:v>
      </x:c>
      <x:c r="K122" s="23" t="n">
        <x:f>SUMIFS('Cenários de GMD'!$C$4:$C$19,'Cenários de GMD'!$A$4:$A$19,B122,'Cenários de GMD'!$B$4:$B$19,C122)</x:f>
        <x:v>0.7</x:v>
      </x:c>
      <x:c r="L122" s="23" t="n">
        <x:f>IF(J122=0,0,J122/K122)</x:f>
        <x:v>77.92207792207795</x:v>
      </x:c>
      <x:c r="M122" s="23" t="n">
        <x:f>((H122+I122)/2)*SUMIFS('Cenários de GMD'!$D$4:$D$19,'Cenários de GMD'!$A$4:$A$19,B122,'Cenários de GMD'!$B$4:$B$19,C122)</x:f>
        <x:v>0.27272727272727276</x:v>
      </x:c>
      <x:c r="N122" s="23" t="n">
        <x:f>((H122+I122)/2)*SUMIFS('Cenários de GMD'!$E$4:$E$19,'Cenários de GMD'!$A$4:$A$19,B122,'Cenários de GMD'!$B$4:$B$19,C122)</x:f>
        <x:v>1.3636363636363638</x:v>
      </x:c>
      <x:c r="O122" s="21" t="n">
        <x:f>M122*Insumos!$E$4+N122*Insumos!$E$5</x:f>
        <x:v>3.5325454545454553</x:v>
      </x:c>
      <x:c r="P122" s="21" t="n">
        <x:f>O122*Premissas!$B$7</x:f>
        <x:v>105.97636363636366</x:v>
      </x:c>
      <x:c r="Q122" s="21" t="n">
        <x:f>O122*L122</x:f>
        <x:v>275.26328217237324</x:v>
      </x:c>
      <x:c r="R122" s="21" t="n">
        <x:f>Premissas!$B$7*Premissas!$B$8*L122</x:f>
        <x:v>0</x:v>
      </x:c>
      <x:c r="S122" s="21" t="n">
        <x:f>D122*E122</x:f>
        <x:v>3630</x:v>
      </x:c>
      <x:c r="T122" s="21" t="n">
        <x:f>S122*F122</x:f>
        <x:v>61710</x:v>
      </x:c>
      <x:c r="U122" s="21" t="n">
        <x:f>S122-XLOOKUP(A122,Lotes!$A$4:$A$8,Lotes!$D$4:$D$8,Premissas!$B$9)-Q122-R122</x:f>
        <x:v>1404.7367178276268</x:v>
      </x:c>
      <x:c r="V122" s="21" t="n">
        <x:f>U122*F122</x:f>
        <x:v>23880.524203069654</x:v>
      </x:c>
      <x:c r="W122" s="20" t="n">
        <x:f>IF(S122=0,0,U122/S122)</x:f>
        <x:v>0.3869798120737264</x:v>
      </x:c>
      <x:c r="X122" s="21" t="n">
        <x:f>IF(D122-G122&lt;=0,0,Q122/(D122-G122))</x:f>
        <x:v>137.63164108618662</x:v>
      </x:c>
      <x:c r="Y122" s="20" t="n">
        <x:f>IFERROR(U122/(XLOOKUP(A122,Lotes!$A$4:$A$8,Lotes!$D$4:$D$8,Premissas!$B$9)+Q122+R122),0)</x:f>
        <x:v>0.631267647779762</x:v>
      </x:c>
      <x:c r="Z122" s="20" t="n">
        <x:f>IF(L122=0,Y122,Y122/MAX(1,L122/Premissas!$B$7))</x:f>
        <x:v>0.24303804439520826</x:v>
      </x:c>
      <x:c r="AA122" s="19" t="str">
        <x:f>IF(L122=0,"Venda imediata",IF(L122&lt;=60,"Baixo",IF(L122&lt;=120,"Médio","Alto")))</x:f>
        <x:v>Médio</x:v>
      </x:c>
      <x:c r="AB122" s="19" t="str">
        <x:f>IF(U122&lt;0,"Não fazer",IF(AA122="Alto","Risco seca",IF(Z122&gt;=0.03,"Bom giro","Margem ok")))</x:f>
        <x:v>Bom giro</x:v>
      </x:c>
    </x:row>
    <x:row r="123">
      <x:c r="A123" s="19" t="str">
        <x:v>Lote maior - otimista 9@</x:v>
      </x:c>
      <x:c r="B123" s="19" t="str">
        <x:v>Intermediária</x:v>
      </x:c>
      <x:c r="C123" s="19" t="str">
        <x:v>Base</x:v>
      </x:c>
      <x:c r="D123" s="19" t="n">
        <x:v>12</x:v>
      </x:c>
      <x:c r="E123" s="21" t="n">
        <x:f>Premissas!$B$6</x:f>
        <x:v>330</x:v>
      </x:c>
      <x:c r="F123" s="19" t="n">
        <x:f>XLOOKUP(A123,Lotes!$A$4:$A$8,Lotes!$B$4:$B$8,0)</x:f>
        <x:v>17</x:v>
      </x:c>
      <x:c r="G123" s="23" t="n">
        <x:f>XLOOKUP(A123,Lotes!$A$4:$A$8,Lotes!$C$4:$C$8,0)</x:f>
        <x:v>9</x:v>
      </x:c>
      <x:c r="H123" s="23" t="n">
        <x:f>G123*Premissas!$B$5/Premissas!$B$4</x:f>
        <x:v>245.45454545454544</x:v>
      </x:c>
      <x:c r="I123" s="23" t="n">
        <x:f>D123*Premissas!$B$5/Premissas!$B$4</x:f>
        <x:v>327.27272727272725</x:v>
      </x:c>
      <x:c r="J123" s="23" t="n">
        <x:f>MAX(0,I123-H123)</x:f>
        <x:v>81.81818181818181</x:v>
      </x:c>
      <x:c r="K123" s="23" t="n">
        <x:f>SUMIFS('Cenários de GMD'!$C$4:$C$19,'Cenários de GMD'!$A$4:$A$19,B123,'Cenários de GMD'!$B$4:$B$19,C123)</x:f>
        <x:v>0.7</x:v>
      </x:c>
      <x:c r="L123" s="23" t="n">
        <x:f>IF(J123=0,0,J123/K123)</x:f>
        <x:v>116.88311688311688</x:v>
      </x:c>
      <x:c r="M123" s="23" t="n">
        <x:f>((H123+I123)/2)*SUMIFS('Cenários de GMD'!$D$4:$D$19,'Cenários de GMD'!$A$4:$A$19,B123,'Cenários de GMD'!$B$4:$B$19,C123)</x:f>
        <x:v>0.2863636363636364</x:v>
      </x:c>
      <x:c r="N123" s="23" t="n">
        <x:f>((H123+I123)/2)*SUMIFS('Cenários de GMD'!$E$4:$E$19,'Cenários de GMD'!$A$4:$A$19,B123,'Cenários de GMD'!$B$4:$B$19,C123)</x:f>
        <x:v>1.4318181818181819</x:v>
      </x:c>
      <x:c r="O123" s="21" t="n">
        <x:f>M123*Insumos!$E$4+N123*Insumos!$E$5</x:f>
        <x:v>3.7091727272727275</x:v>
      </x:c>
      <x:c r="P123" s="21" t="n">
        <x:f>O123*Premissas!$B$7</x:f>
        <x:v>111.27518181818182</x:v>
      </x:c>
      <x:c r="Q123" s="21" t="n">
        <x:f>O123*L123</x:f>
        <x:v>433.53966942148764</x:v>
      </x:c>
      <x:c r="R123" s="21" t="n">
        <x:f>Premissas!$B$7*Premissas!$B$8*L123</x:f>
        <x:v>0</x:v>
      </x:c>
      <x:c r="S123" s="21" t="n">
        <x:f>D123*E123</x:f>
        <x:v>3960</x:v>
      </x:c>
      <x:c r="T123" s="21" t="n">
        <x:f>S123*F123</x:f>
        <x:v>67320</x:v>
      </x:c>
      <x:c r="U123" s="21" t="n">
        <x:f>S123-XLOOKUP(A123,Lotes!$A$4:$A$8,Lotes!$D$4:$D$8,Premissas!$B$9)-Q123-R123</x:f>
        <x:v>1576.4603305785124</x:v>
      </x:c>
      <x:c r="V123" s="21" t="n">
        <x:f>U123*F123</x:f>
        <x:v>26799.82561983471</x:v>
      </x:c>
      <x:c r="W123" s="20" t="n">
        <x:f>IF(S123=0,0,U123/S123)</x:f>
        <x:v>0.39809604307538193</x:v>
      </x:c>
      <x:c r="X123" s="21" t="n">
        <x:f>IF(D123-G123&lt;=0,0,Q123/(D123-G123))</x:f>
        <x:v>144.51322314049588</x:v>
      </x:c>
      <x:c r="Y123" s="20" t="n">
        <x:f>IFERROR(U123/(XLOOKUP(A123,Lotes!$A$4:$A$8,Lotes!$D$4:$D$8,Premissas!$B$9)+Q123+R123),0)</x:f>
        <x:v>0.6613946269923576</x:v>
      </x:c>
      <x:c r="Z123" s="20" t="n">
        <x:f>IF(L123=0,Y123,Y123/MAX(1,L123/Premissas!$B$7))</x:f>
        <x:v>0.1697579542613718</x:v>
      </x:c>
      <x:c r="AA123" s="19" t="str">
        <x:f>IF(L123=0,"Venda imediata",IF(L123&lt;=60,"Baixo",IF(L123&lt;=120,"Médio","Alto")))</x:f>
        <x:v>Médio</x:v>
      </x:c>
      <x:c r="AB123" s="19" t="str">
        <x:f>IF(U123&lt;0,"Não fazer",IF(AA123="Alto","Risco seca",IF(Z123&gt;=0.03,"Bom giro","Margem ok")))</x:f>
        <x:v>Bom giro</x:v>
      </x:c>
    </x:row>
    <x:row r="124">
      <x:c r="A124" s="19" t="str">
        <x:v>Lote maior - otimista 9@</x:v>
      </x:c>
      <x:c r="B124" s="19" t="str">
        <x:v>Intermediária</x:v>
      </x:c>
      <x:c r="C124" s="19" t="str">
        <x:v>Bom</x:v>
      </x:c>
      <x:c r="D124" s="19" t="n">
        <x:v>8.5</x:v>
      </x:c>
      <x:c r="E124" s="21" t="n">
        <x:f>Premissas!$B$6</x:f>
        <x:v>330</x:v>
      </x:c>
      <x:c r="F124" s="19" t="n">
        <x:f>XLOOKUP(A124,Lotes!$A$4:$A$8,Lotes!$B$4:$B$8,0)</x:f>
        <x:v>17</x:v>
      </x:c>
      <x:c r="G124" s="23" t="n">
        <x:f>XLOOKUP(A124,Lotes!$A$4:$A$8,Lotes!$C$4:$C$8,0)</x:f>
        <x:v>9</x:v>
      </x:c>
      <x:c r="H124" s="23" t="n">
        <x:f>G124*Premissas!$B$5/Premissas!$B$4</x:f>
        <x:v>245.45454545454544</x:v>
      </x:c>
      <x:c r="I124" s="23" t="n">
        <x:f>D124*Premissas!$B$5/Premissas!$B$4</x:f>
        <x:v>231.8181818181818</x:v>
      </x:c>
      <x:c r="J124" s="23" t="n">
        <x:f>MAX(0,I124-H124)</x:f>
        <x:v>0</x:v>
      </x:c>
      <x:c r="K124" s="23" t="n">
        <x:f>SUMIFS('Cenários de GMD'!$C$4:$C$19,'Cenários de GMD'!$A$4:$A$19,B124,'Cenários de GMD'!$B$4:$B$19,C124)</x:f>
        <x:v>0.85</x:v>
      </x:c>
      <x:c r="L124" s="23" t="n">
        <x:f>IF(J124=0,0,J124/K124)</x:f>
        <x:v>0</x:v>
      </x:c>
      <x:c r="M124" s="23" t="n">
        <x:f>((H124+I124)/2)*SUMIFS('Cenários de GMD'!$D$4:$D$19,'Cenários de GMD'!$A$4:$A$19,B124,'Cenários de GMD'!$B$4:$B$19,C124)</x:f>
        <x:v>0.23863636363636362</x:v>
      </x:c>
      <x:c r="N124" s="23" t="n">
        <x:f>((H124+I124)/2)*SUMIFS('Cenários de GMD'!$E$4:$E$19,'Cenários de GMD'!$A$4:$A$19,B124,'Cenários de GMD'!$B$4:$B$19,C124)</x:f>
        <x:v>1.1931818181818181</x:v>
      </x:c>
      <x:c r="O124" s="21" t="n">
        <x:f>M124*Insumos!$E$4+N124*Insumos!$E$5</x:f>
        <x:v>3.0909772727272724</x:v>
      </x:c>
      <x:c r="P124" s="21" t="n">
        <x:f>O124*Premissas!$B$7</x:f>
        <x:v>92.72931818181817</x:v>
      </x:c>
      <x:c r="Q124" s="21" t="n">
        <x:f>O124*L124</x:f>
        <x:v>0</x:v>
      </x:c>
      <x:c r="R124" s="21" t="n">
        <x:f>Premissas!$B$7*Premissas!$B$8*L124</x:f>
        <x:v>0</x:v>
      </x:c>
      <x:c r="S124" s="21" t="n">
        <x:f>D124*E124</x:f>
        <x:v>2805</x:v>
      </x:c>
      <x:c r="T124" s="21" t="n">
        <x:f>S124*F124</x:f>
        <x:v>47685</x:v>
      </x:c>
      <x:c r="U124" s="21" t="n">
        <x:f>S124-XLOOKUP(A124,Lotes!$A$4:$A$8,Lotes!$D$4:$D$8,Premissas!$B$9)-Q124-R124</x:f>
        <x:v>855</x:v>
      </x:c>
      <x:c r="V124" s="21" t="n">
        <x:f>U124*F124</x:f>
        <x:v>14535</x:v>
      </x:c>
      <x:c r="W124" s="20" t="n">
        <x:f>IF(S124=0,0,U124/S124)</x:f>
        <x:v>0.3048128342245989</x:v>
      </x:c>
      <x:c r="X124" s="21" t="n">
        <x:f>IF(D124-G124&lt;=0,0,Q124/(D124-G124))</x:f>
        <x:v>0</x:v>
      </x:c>
      <x:c r="Y124" s="20" t="n">
        <x:f>IFERROR(U124/(XLOOKUP(A124,Lotes!$A$4:$A$8,Lotes!$D$4:$D$8,Premissas!$B$9)+Q124+R124),0)</x:f>
        <x:v>0.43846153846153846</x:v>
      </x:c>
      <x:c r="Z124" s="20" t="n">
        <x:f>IF(L124=0,Y124,Y124/MAX(1,L124/Premissas!$B$7))</x:f>
        <x:v>0.43846153846153846</x:v>
      </x:c>
      <x:c r="AA124" s="19" t="str">
        <x:f>IF(L124=0,"Venda imediata",IF(L124&lt;=60,"Baixo",IF(L124&lt;=120,"Médio","Alto")))</x:f>
        <x:v>Venda imediata</x:v>
      </x:c>
      <x:c r="AB124" s="19" t="str">
        <x:f>IF(U124&lt;0,"Não fazer",IF(AA124="Alto","Risco seca",IF(Z124&gt;=0.03,"Bom giro","Margem ok")))</x:f>
        <x:v>Bom giro</x:v>
      </x:c>
    </x:row>
    <x:row r="125">
      <x:c r="A125" s="19" t="str">
        <x:v>Lote maior - otimista 9@</x:v>
      </x:c>
      <x:c r="B125" s="19" t="str">
        <x:v>Intermediária</x:v>
      </x:c>
      <x:c r="C125" s="19" t="str">
        <x:v>Bom</x:v>
      </x:c>
      <x:c r="D125" s="19" t="n">
        <x:v>9</x:v>
      </x:c>
      <x:c r="E125" s="21" t="n">
        <x:f>Premissas!$B$6</x:f>
        <x:v>330</x:v>
      </x:c>
      <x:c r="F125" s="19" t="n">
        <x:f>XLOOKUP(A125,Lotes!$A$4:$A$8,Lotes!$B$4:$B$8,0)</x:f>
        <x:v>17</x:v>
      </x:c>
      <x:c r="G125" s="23" t="n">
        <x:f>XLOOKUP(A125,Lotes!$A$4:$A$8,Lotes!$C$4:$C$8,0)</x:f>
        <x:v>9</x:v>
      </x:c>
      <x:c r="H125" s="23" t="n">
        <x:f>G125*Premissas!$B$5/Premissas!$B$4</x:f>
        <x:v>245.45454545454544</x:v>
      </x:c>
      <x:c r="I125" s="23" t="n">
        <x:f>D125*Premissas!$B$5/Premissas!$B$4</x:f>
        <x:v>245.45454545454544</x:v>
      </x:c>
      <x:c r="J125" s="23" t="n">
        <x:f>MAX(0,I125-H125)</x:f>
        <x:v>0</x:v>
      </x:c>
      <x:c r="K125" s="23" t="n">
        <x:f>SUMIFS('Cenários de GMD'!$C$4:$C$19,'Cenários de GMD'!$A$4:$A$19,B125,'Cenários de GMD'!$B$4:$B$19,C125)</x:f>
        <x:v>0.85</x:v>
      </x:c>
      <x:c r="L125" s="23" t="n">
        <x:f>IF(J125=0,0,J125/K125)</x:f>
        <x:v>0</x:v>
      </x:c>
      <x:c r="M125" s="23" t="n">
        <x:f>((H125+I125)/2)*SUMIFS('Cenários de GMD'!$D$4:$D$19,'Cenários de GMD'!$A$4:$A$19,B125,'Cenários de GMD'!$B$4:$B$19,C125)</x:f>
        <x:v>0.24545454545454545</x:v>
      </x:c>
      <x:c r="N125" s="23" t="n">
        <x:f>((H125+I125)/2)*SUMIFS('Cenários de GMD'!$E$4:$E$19,'Cenários de GMD'!$A$4:$A$19,B125,'Cenários de GMD'!$B$4:$B$19,C125)</x:f>
        <x:v>1.2272727272727273</x:v>
      </x:c>
      <x:c r="O125" s="21" t="n">
        <x:f>M125*Insumos!$E$4+N125*Insumos!$E$5</x:f>
        <x:v>3.179290909090909</x:v>
      </x:c>
      <x:c r="P125" s="21" t="n">
        <x:f>O125*Premissas!$B$7</x:f>
        <x:v>95.37872727272728</x:v>
      </x:c>
      <x:c r="Q125" s="21" t="n">
        <x:f>O125*L125</x:f>
        <x:v>0</x:v>
      </x:c>
      <x:c r="R125" s="21" t="n">
        <x:f>Premissas!$B$7*Premissas!$B$8*L125</x:f>
        <x:v>0</x:v>
      </x:c>
      <x:c r="S125" s="21" t="n">
        <x:f>D125*E125</x:f>
        <x:v>2970</x:v>
      </x:c>
      <x:c r="T125" s="21" t="n">
        <x:f>S125*F125</x:f>
        <x:v>50490</x:v>
      </x:c>
      <x:c r="U125" s="21" t="n">
        <x:f>S125-XLOOKUP(A125,Lotes!$A$4:$A$8,Lotes!$D$4:$D$8,Premissas!$B$9)-Q125-R125</x:f>
        <x:v>1020</x:v>
      </x:c>
      <x:c r="V125" s="21" t="n">
        <x:f>U125*F125</x:f>
        <x:v>17340</x:v>
      </x:c>
      <x:c r="W125" s="20" t="n">
        <x:f>IF(S125=0,0,U125/S125)</x:f>
        <x:v>0.3434343434343434</x:v>
      </x:c>
      <x:c r="X125" s="21" t="n">
        <x:f>IF(D125-G125&lt;=0,0,Q125/(D125-G125))</x:f>
        <x:v>0</x:v>
      </x:c>
      <x:c r="Y125" s="20" t="n">
        <x:f>IFERROR(U125/(XLOOKUP(A125,Lotes!$A$4:$A$8,Lotes!$D$4:$D$8,Premissas!$B$9)+Q125+R125),0)</x:f>
        <x:v>0.5230769230769231</x:v>
      </x:c>
      <x:c r="Z125" s="20" t="n">
        <x:f>IF(L125=0,Y125,Y125/MAX(1,L125/Premissas!$B$7))</x:f>
        <x:v>0.5230769230769231</x:v>
      </x:c>
      <x:c r="AA125" s="19" t="str">
        <x:f>IF(L125=0,"Venda imediata",IF(L125&lt;=60,"Baixo",IF(L125&lt;=120,"Médio","Alto")))</x:f>
        <x:v>Venda imediata</x:v>
      </x:c>
      <x:c r="AB125" s="19" t="str">
        <x:f>IF(U125&lt;0,"Não fazer",IF(AA125="Alto","Risco seca",IF(Z125&gt;=0.03,"Bom giro","Margem ok")))</x:f>
        <x:v>Bom giro</x:v>
      </x:c>
    </x:row>
    <x:row r="126">
      <x:c r="A126" s="19" t="str">
        <x:v>Lote maior - otimista 9@</x:v>
      </x:c>
      <x:c r="B126" s="19" t="str">
        <x:v>Intermediária</x:v>
      </x:c>
      <x:c r="C126" s="19" t="str">
        <x:v>Bom</x:v>
      </x:c>
      <x:c r="D126" s="19" t="n">
        <x:v>10.5</x:v>
      </x:c>
      <x:c r="E126" s="21" t="n">
        <x:f>Premissas!$B$6</x:f>
        <x:v>330</x:v>
      </x:c>
      <x:c r="F126" s="19" t="n">
        <x:f>XLOOKUP(A126,Lotes!$A$4:$A$8,Lotes!$B$4:$B$8,0)</x:f>
        <x:v>17</x:v>
      </x:c>
      <x:c r="G126" s="23" t="n">
        <x:f>XLOOKUP(A126,Lotes!$A$4:$A$8,Lotes!$C$4:$C$8,0)</x:f>
        <x:v>9</x:v>
      </x:c>
      <x:c r="H126" s="23" t="n">
        <x:f>G126*Premissas!$B$5/Premissas!$B$4</x:f>
        <x:v>245.45454545454544</x:v>
      </x:c>
      <x:c r="I126" s="23" t="n">
        <x:f>D126*Premissas!$B$5/Premissas!$B$4</x:f>
        <x:v>286.3636363636363</x:v>
      </x:c>
      <x:c r="J126" s="23" t="n">
        <x:f>MAX(0,I126-H126)</x:f>
        <x:v>40.90909090909088</x:v>
      </x:c>
      <x:c r="K126" s="23" t="n">
        <x:f>SUMIFS('Cenários de GMD'!$C$4:$C$19,'Cenários de GMD'!$A$4:$A$19,B126,'Cenários de GMD'!$B$4:$B$19,C126)</x:f>
        <x:v>0.85</x:v>
      </x:c>
      <x:c r="L126" s="23" t="n">
        <x:f>IF(J126=0,0,J126/K126)</x:f>
        <x:v>48.128342245989266</x:v>
      </x:c>
      <x:c r="M126" s="23" t="n">
        <x:f>((H126+I126)/2)*SUMIFS('Cenários de GMD'!$D$4:$D$19,'Cenários de GMD'!$A$4:$A$19,B126,'Cenários de GMD'!$B$4:$B$19,C126)</x:f>
        <x:v>0.2659090909090909</x:v>
      </x:c>
      <x:c r="N126" s="23" t="n">
        <x:f>((H126+I126)/2)*SUMIFS('Cenários de GMD'!$E$4:$E$19,'Cenários de GMD'!$A$4:$A$19,B126,'Cenários de GMD'!$B$4:$B$19,C126)</x:f>
        <x:v>1.3295454545454544</x:v>
      </x:c>
      <x:c r="O126" s="21" t="n">
        <x:f>M126*Insumos!$E$4+N126*Insumos!$E$5</x:f>
        <x:v>3.4442318181818177</x:v>
      </x:c>
      <x:c r="P126" s="21" t="n">
        <x:f>O126*Premissas!$B$7</x:f>
        <x:v>103.32695454545453</x:v>
      </x:c>
      <x:c r="Q126" s="21" t="n">
        <x:f>O126*L126</x:f>
        <x:v>165.76516771998038</x:v>
      </x:c>
      <x:c r="R126" s="21" t="n">
        <x:f>Premissas!$B$7*Premissas!$B$8*L126</x:f>
        <x:v>0</x:v>
      </x:c>
      <x:c r="S126" s="21" t="n">
        <x:f>D126*E126</x:f>
        <x:v>3465</x:v>
      </x:c>
      <x:c r="T126" s="21" t="n">
        <x:f>S126*F126</x:f>
        <x:v>58905</x:v>
      </x:c>
      <x:c r="U126" s="21" t="n">
        <x:f>S126-XLOOKUP(A126,Lotes!$A$4:$A$8,Lotes!$D$4:$D$8,Premissas!$B$9)-Q126-R126</x:f>
        <x:v>1349.2348322800196</x:v>
      </x:c>
      <x:c r="V126" s="21" t="n">
        <x:f>U126*F126</x:f>
        <x:v>22936.992148760335</x:v>
      </x:c>
      <x:c r="W126" s="20" t="n">
        <x:f>IF(S126=0,0,U126/S126)</x:f>
        <x:v>0.38938956198557567</x:v>
      </x:c>
      <x:c r="X126" s="21" t="n">
        <x:f>IF(D126-G126&lt;=0,0,Q126/(D126-G126))</x:f>
        <x:v>110.51011181332025</x:v>
      </x:c>
      <x:c r="Y126" s="20" t="n">
        <x:f>IFERROR(U126/(XLOOKUP(A126,Lotes!$A$4:$A$8,Lotes!$D$4:$D$8,Premissas!$B$9)+Q126+R126),0)</x:f>
        <x:v>0.6377053809492479</x:v>
      </x:c>
      <x:c r="Z126" s="20" t="n">
        <x:f>IF(L126=0,Y126,Y126/MAX(1,L126/Premissas!$B$7))</x:f>
        <x:v>0.3975030207916982</x:v>
      </x:c>
      <x:c r="AA126" s="19" t="str">
        <x:f>IF(L126=0,"Venda imediata",IF(L126&lt;=60,"Baixo",IF(L126&lt;=120,"Médio","Alto")))</x:f>
        <x:v>Baixo</x:v>
      </x:c>
      <x:c r="AB126" s="19" t="str">
        <x:f>IF(U126&lt;0,"Não fazer",IF(AA126="Alto","Risco seca",IF(Z126&gt;=0.03,"Bom giro","Margem ok")))</x:f>
        <x:v>Bom giro</x:v>
      </x:c>
    </x:row>
    <x:row r="127">
      <x:c r="A127" s="19" t="str">
        <x:v>Lote maior - otimista 9@</x:v>
      </x:c>
      <x:c r="B127" s="19" t="str">
        <x:v>Intermediária</x:v>
      </x:c>
      <x:c r="C127" s="19" t="str">
        <x:v>Bom</x:v>
      </x:c>
      <x:c r="D127" s="19" t="n">
        <x:v>11</x:v>
      </x:c>
      <x:c r="E127" s="21" t="n">
        <x:f>Premissas!$B$6</x:f>
        <x:v>330</x:v>
      </x:c>
      <x:c r="F127" s="19" t="n">
        <x:f>XLOOKUP(A127,Lotes!$A$4:$A$8,Lotes!$B$4:$B$8,0)</x:f>
        <x:v>17</x:v>
      </x:c>
      <x:c r="G127" s="23" t="n">
        <x:f>XLOOKUP(A127,Lotes!$A$4:$A$8,Lotes!$C$4:$C$8,0)</x:f>
        <x:v>9</x:v>
      </x:c>
      <x:c r="H127" s="23" t="n">
        <x:f>G127*Premissas!$B$5/Premissas!$B$4</x:f>
        <x:v>245.45454545454544</x:v>
      </x:c>
      <x:c r="I127" s="23" t="n">
        <x:f>D127*Premissas!$B$5/Premissas!$B$4</x:f>
        <x:v>300</x:v>
      </x:c>
      <x:c r="J127" s="23" t="n">
        <x:f>MAX(0,I127-H127)</x:f>
        <x:v>54.54545454545456</x:v>
      </x:c>
      <x:c r="K127" s="23" t="n">
        <x:f>SUMIFS('Cenários de GMD'!$C$4:$C$19,'Cenários de GMD'!$A$4:$A$19,B127,'Cenários de GMD'!$B$4:$B$19,C127)</x:f>
        <x:v>0.85</x:v>
      </x:c>
      <x:c r="L127" s="23" t="n">
        <x:f>IF(J127=0,0,J127/K127)</x:f>
        <x:v>64.17112299465242</x:v>
      </x:c>
      <x:c r="M127" s="23" t="n">
        <x:f>((H127+I127)/2)*SUMIFS('Cenários de GMD'!$D$4:$D$19,'Cenários de GMD'!$A$4:$A$19,B127,'Cenários de GMD'!$B$4:$B$19,C127)</x:f>
        <x:v>0.27272727272727276</x:v>
      </x:c>
      <x:c r="N127" s="23" t="n">
        <x:f>((H127+I127)/2)*SUMIFS('Cenários de GMD'!$E$4:$E$19,'Cenários de GMD'!$A$4:$A$19,B127,'Cenários de GMD'!$B$4:$B$19,C127)</x:f>
        <x:v>1.3636363636363638</x:v>
      </x:c>
      <x:c r="O127" s="21" t="n">
        <x:f>M127*Insumos!$E$4+N127*Insumos!$E$5</x:f>
        <x:v>3.5325454545454553</x:v>
      </x:c>
      <x:c r="P127" s="21" t="n">
        <x:f>O127*Premissas!$B$7</x:f>
        <x:v>105.97636363636366</x:v>
      </x:c>
      <x:c r="Q127" s="21" t="n">
        <x:f>O127*L127</x:f>
        <x:v>226.68740884783676</x:v>
      </x:c>
      <x:c r="R127" s="21" t="n">
        <x:f>Premissas!$B$7*Premissas!$B$8*L127</x:f>
        <x:v>0</x:v>
      </x:c>
      <x:c r="S127" s="21" t="n">
        <x:f>D127*E127</x:f>
        <x:v>3630</x:v>
      </x:c>
      <x:c r="T127" s="21" t="n">
        <x:f>S127*F127</x:f>
        <x:v>61710</x:v>
      </x:c>
      <x:c r="U127" s="21" t="n">
        <x:f>S127-XLOOKUP(A127,Lotes!$A$4:$A$8,Lotes!$D$4:$D$8,Premissas!$B$9)-Q127-R127</x:f>
        <x:v>1453.3125911521633</x:v>
      </x:c>
      <x:c r="V127" s="21" t="n">
        <x:f>U127*F127</x:f>
        <x:v>24706.314049586777</x:v>
      </x:c>
      <x:c r="W127" s="20" t="n">
        <x:f>IF(S127=0,0,U127/S127)</x:f>
        <x:v>0.4003615953587227</x:v>
      </x:c>
      <x:c r="X127" s="21" t="n">
        <x:f>IF(D127-G127&lt;=0,0,Q127/(D127-G127))</x:f>
        <x:v>113.34370442391838</x:v>
      </x:c>
      <x:c r="Y127" s="20" t="n">
        <x:f>IFERROR(U127/(XLOOKUP(A127,Lotes!$A$4:$A$8,Lotes!$D$4:$D$8,Premissas!$B$9)+Q127+R127),0)</x:f>
        <x:v>0.6676717039133471</x:v>
      </x:c>
      <x:c r="Z127" s="20" t="n">
        <x:f>IF(L127=0,Y127,Y127/MAX(1,L127/Premissas!$B$7))</x:f>
        <x:v>0.3121365215794897</x:v>
      </x:c>
      <x:c r="AA127" s="19" t="str">
        <x:f>IF(L127=0,"Venda imediata",IF(L127&lt;=60,"Baixo",IF(L127&lt;=120,"Médio","Alto")))</x:f>
        <x:v>Médio</x:v>
      </x:c>
      <x:c r="AB127" s="19" t="str">
        <x:f>IF(U127&lt;0,"Não fazer",IF(AA127="Alto","Risco seca",IF(Z127&gt;=0.03,"Bom giro","Margem ok")))</x:f>
        <x:v>Bom giro</x:v>
      </x:c>
    </x:row>
    <x:row r="128">
      <x:c r="A128" s="19" t="str">
        <x:v>Lote maior - otimista 9@</x:v>
      </x:c>
      <x:c r="B128" s="19" t="str">
        <x:v>Intermediária</x:v>
      </x:c>
      <x:c r="C128" s="19" t="str">
        <x:v>Bom</x:v>
      </x:c>
      <x:c r="D128" s="19" t="n">
        <x:v>12</x:v>
      </x:c>
      <x:c r="E128" s="21" t="n">
        <x:f>Premissas!$B$6</x:f>
        <x:v>330</x:v>
      </x:c>
      <x:c r="F128" s="19" t="n">
        <x:f>XLOOKUP(A128,Lotes!$A$4:$A$8,Lotes!$B$4:$B$8,0)</x:f>
        <x:v>17</x:v>
      </x:c>
      <x:c r="G128" s="23" t="n">
        <x:f>XLOOKUP(A128,Lotes!$A$4:$A$8,Lotes!$C$4:$C$8,0)</x:f>
        <x:v>9</x:v>
      </x:c>
      <x:c r="H128" s="23" t="n">
        <x:f>G128*Premissas!$B$5/Premissas!$B$4</x:f>
        <x:v>245.45454545454544</x:v>
      </x:c>
      <x:c r="I128" s="23" t="n">
        <x:f>D128*Premissas!$B$5/Premissas!$B$4</x:f>
        <x:v>327.27272727272725</x:v>
      </x:c>
      <x:c r="J128" s="23" t="n">
        <x:f>MAX(0,I128-H128)</x:f>
        <x:v>81.81818181818181</x:v>
      </x:c>
      <x:c r="K128" s="23" t="n">
        <x:f>SUMIFS('Cenários de GMD'!$C$4:$C$19,'Cenários de GMD'!$A$4:$A$19,B128,'Cenários de GMD'!$B$4:$B$19,C128)</x:f>
        <x:v>0.85</x:v>
      </x:c>
      <x:c r="L128" s="23" t="n">
        <x:f>IF(J128=0,0,J128/K128)</x:f>
        <x:v>96.2566844919786</x:v>
      </x:c>
      <x:c r="M128" s="23" t="n">
        <x:f>((H128+I128)/2)*SUMIFS('Cenários de GMD'!$D$4:$D$19,'Cenários de GMD'!$A$4:$A$19,B128,'Cenários de GMD'!$B$4:$B$19,C128)</x:f>
        <x:v>0.2863636363636364</x:v>
      </x:c>
      <x:c r="N128" s="23" t="n">
        <x:f>((H128+I128)/2)*SUMIFS('Cenários de GMD'!$E$4:$E$19,'Cenários de GMD'!$A$4:$A$19,B128,'Cenários de GMD'!$B$4:$B$19,C128)</x:f>
        <x:v>1.4318181818181819</x:v>
      </x:c>
      <x:c r="O128" s="21" t="n">
        <x:f>M128*Insumos!$E$4+N128*Insumos!$E$5</x:f>
        <x:v>3.7091727272727275</x:v>
      </x:c>
      <x:c r="P128" s="21" t="n">
        <x:f>O128*Premissas!$B$7</x:f>
        <x:v>111.27518181818182</x:v>
      </x:c>
      <x:c r="Q128" s="21" t="n">
        <x:f>O128*L128</x:f>
        <x:v>357.0326689353427</x:v>
      </x:c>
      <x:c r="R128" s="21" t="n">
        <x:f>Premissas!$B$7*Premissas!$B$8*L128</x:f>
        <x:v>0</x:v>
      </x:c>
      <x:c r="S128" s="21" t="n">
        <x:f>D128*E128</x:f>
        <x:v>3960</x:v>
      </x:c>
      <x:c r="T128" s="21" t="n">
        <x:f>S128*F128</x:f>
        <x:v>67320</x:v>
      </x:c>
      <x:c r="U128" s="21" t="n">
        <x:f>S128-XLOOKUP(A128,Lotes!$A$4:$A$8,Lotes!$D$4:$D$8,Premissas!$B$9)-Q128-R128</x:f>
        <x:v>1652.9673310646572</x:v>
      </x:c>
      <x:c r="V128" s="21" t="n">
        <x:f>U128*F128</x:f>
        <x:v>28100.444628099172</x:v>
      </x:c>
      <x:c r="W128" s="20" t="n">
        <x:f>IF(S128=0,0,U128/S128)</x:f>
        <x:v>0.41741599269309526</x:v>
      </x:c>
      <x:c r="X128" s="21" t="n">
        <x:f>IF(D128-G128&lt;=0,0,Q128/(D128-G128))</x:f>
        <x:v>119.01088964511423</x:v>
      </x:c>
      <x:c r="Y128" s="20" t="n">
        <x:f>IFERROR(U128/(XLOOKUP(A128,Lotes!$A$4:$A$8,Lotes!$D$4:$D$8,Premissas!$B$9)+Q128+R128),0)</x:f>
        <x:v>0.7164906476280954</x:v>
      </x:c>
      <x:c r="Z128" s="20" t="n">
        <x:f>IF(L128=0,Y128,Y128/MAX(1,L128/Premissas!$B$7))</x:f>
        <x:v>0.22330625184408975</x:v>
      </x:c>
      <x:c r="AA128" s="19" t="str">
        <x:f>IF(L128=0,"Venda imediata",IF(L128&lt;=60,"Baixo",IF(L128&lt;=120,"Médio","Alto")))</x:f>
        <x:v>Médio</x:v>
      </x:c>
      <x:c r="AB128" s="19" t="str">
        <x:f>IF(U128&lt;0,"Não fazer",IF(AA128="Alto","Risco seca",IF(Z128&gt;=0.03,"Bom giro","Margem ok")))</x:f>
        <x:v>Bom giro</x:v>
      </x:c>
    </x:row>
    <x:row r="129">
      <x:c r="A129" s="19" t="str">
        <x:v>Lote maior - otimista 9@</x:v>
      </x:c>
      <x:c r="B129" s="19" t="str">
        <x:v>Intermediária</x:v>
      </x:c>
      <x:c r="C129" s="19" t="str">
        <x:v>Ótimo</x:v>
      </x:c>
      <x:c r="D129" s="19" t="n">
        <x:v>8.5</x:v>
      </x:c>
      <x:c r="E129" s="21" t="n">
        <x:f>Premissas!$B$6</x:f>
        <x:v>330</x:v>
      </x:c>
      <x:c r="F129" s="19" t="n">
        <x:f>XLOOKUP(A129,Lotes!$A$4:$A$8,Lotes!$B$4:$B$8,0)</x:f>
        <x:v>17</x:v>
      </x:c>
      <x:c r="G129" s="23" t="n">
        <x:f>XLOOKUP(A129,Lotes!$A$4:$A$8,Lotes!$C$4:$C$8,0)</x:f>
        <x:v>9</x:v>
      </x:c>
      <x:c r="H129" s="23" t="n">
        <x:f>G129*Premissas!$B$5/Premissas!$B$4</x:f>
        <x:v>245.45454545454544</x:v>
      </x:c>
      <x:c r="I129" s="23" t="n">
        <x:f>D129*Premissas!$B$5/Premissas!$B$4</x:f>
        <x:v>231.8181818181818</x:v>
      </x:c>
      <x:c r="J129" s="23" t="n">
        <x:f>MAX(0,I129-H129)</x:f>
        <x:v>0</x:v>
      </x:c>
      <x:c r="K129" s="23" t="n">
        <x:f>SUMIFS('Cenários de GMD'!$C$4:$C$19,'Cenários de GMD'!$A$4:$A$19,B129,'Cenários de GMD'!$B$4:$B$19,C129)</x:f>
        <x:v>0.95</x:v>
      </x:c>
      <x:c r="L129" s="23" t="n">
        <x:f>IF(J129=0,0,J129/K129)</x:f>
        <x:v>0</x:v>
      </x:c>
      <x:c r="M129" s="23" t="n">
        <x:f>((H129+I129)/2)*SUMIFS('Cenários de GMD'!$D$4:$D$19,'Cenários de GMD'!$A$4:$A$19,B129,'Cenários de GMD'!$B$4:$B$19,C129)</x:f>
        <x:v>0.23863636363636362</x:v>
      </x:c>
      <x:c r="N129" s="23" t="n">
        <x:f>((H129+I129)/2)*SUMIFS('Cenários de GMD'!$E$4:$E$19,'Cenários de GMD'!$A$4:$A$19,B129,'Cenários de GMD'!$B$4:$B$19,C129)</x:f>
        <x:v>1.1931818181818181</x:v>
      </x:c>
      <x:c r="O129" s="21" t="n">
        <x:f>M129*Insumos!$E$4+N129*Insumos!$E$5</x:f>
        <x:v>3.0909772727272724</x:v>
      </x:c>
      <x:c r="P129" s="21" t="n">
        <x:f>O129*Premissas!$B$7</x:f>
        <x:v>92.72931818181817</x:v>
      </x:c>
      <x:c r="Q129" s="21" t="n">
        <x:f>O129*L129</x:f>
        <x:v>0</x:v>
      </x:c>
      <x:c r="R129" s="21" t="n">
        <x:f>Premissas!$B$7*Premissas!$B$8*L129</x:f>
        <x:v>0</x:v>
      </x:c>
      <x:c r="S129" s="21" t="n">
        <x:f>D129*E129</x:f>
        <x:v>2805</x:v>
      </x:c>
      <x:c r="T129" s="21" t="n">
        <x:f>S129*F129</x:f>
        <x:v>47685</x:v>
      </x:c>
      <x:c r="U129" s="21" t="n">
        <x:f>S129-XLOOKUP(A129,Lotes!$A$4:$A$8,Lotes!$D$4:$D$8,Premissas!$B$9)-Q129-R129</x:f>
        <x:v>855</x:v>
      </x:c>
      <x:c r="V129" s="21" t="n">
        <x:f>U129*F129</x:f>
        <x:v>14535</x:v>
      </x:c>
      <x:c r="W129" s="20" t="n">
        <x:f>IF(S129=0,0,U129/S129)</x:f>
        <x:v>0.3048128342245989</x:v>
      </x:c>
      <x:c r="X129" s="21" t="n">
        <x:f>IF(D129-G129&lt;=0,0,Q129/(D129-G129))</x:f>
        <x:v>0</x:v>
      </x:c>
      <x:c r="Y129" s="20" t="n">
        <x:f>IFERROR(U129/(XLOOKUP(A129,Lotes!$A$4:$A$8,Lotes!$D$4:$D$8,Premissas!$B$9)+Q129+R129),0)</x:f>
        <x:v>0.43846153846153846</x:v>
      </x:c>
      <x:c r="Z129" s="20" t="n">
        <x:f>IF(L129=0,Y129,Y129/MAX(1,L129/Premissas!$B$7))</x:f>
        <x:v>0.43846153846153846</x:v>
      </x:c>
      <x:c r="AA129" s="19" t="str">
        <x:f>IF(L129=0,"Venda imediata",IF(L129&lt;=60,"Baixo",IF(L129&lt;=120,"Médio","Alto")))</x:f>
        <x:v>Venda imediata</x:v>
      </x:c>
      <x:c r="AB129" s="19" t="str">
        <x:f>IF(U129&lt;0,"Não fazer",IF(AA129="Alto","Risco seca",IF(Z129&gt;=0.03,"Bom giro","Margem ok")))</x:f>
        <x:v>Bom giro</x:v>
      </x:c>
    </x:row>
    <x:row r="130">
      <x:c r="A130" s="19" t="str">
        <x:v>Lote maior - otimista 9@</x:v>
      </x:c>
      <x:c r="B130" s="19" t="str">
        <x:v>Intermediária</x:v>
      </x:c>
      <x:c r="C130" s="19" t="str">
        <x:v>Ótimo</x:v>
      </x:c>
      <x:c r="D130" s="19" t="n">
        <x:v>9</x:v>
      </x:c>
      <x:c r="E130" s="21" t="n">
        <x:f>Premissas!$B$6</x:f>
        <x:v>330</x:v>
      </x:c>
      <x:c r="F130" s="19" t="n">
        <x:f>XLOOKUP(A130,Lotes!$A$4:$A$8,Lotes!$B$4:$B$8,0)</x:f>
        <x:v>17</x:v>
      </x:c>
      <x:c r="G130" s="23" t="n">
        <x:f>XLOOKUP(A130,Lotes!$A$4:$A$8,Lotes!$C$4:$C$8,0)</x:f>
        <x:v>9</x:v>
      </x:c>
      <x:c r="H130" s="23" t="n">
        <x:f>G130*Premissas!$B$5/Premissas!$B$4</x:f>
        <x:v>245.45454545454544</x:v>
      </x:c>
      <x:c r="I130" s="23" t="n">
        <x:f>D130*Premissas!$B$5/Premissas!$B$4</x:f>
        <x:v>245.45454545454544</x:v>
      </x:c>
      <x:c r="J130" s="23" t="n">
        <x:f>MAX(0,I130-H130)</x:f>
        <x:v>0</x:v>
      </x:c>
      <x:c r="K130" s="23" t="n">
        <x:f>SUMIFS('Cenários de GMD'!$C$4:$C$19,'Cenários de GMD'!$A$4:$A$19,B130,'Cenários de GMD'!$B$4:$B$19,C130)</x:f>
        <x:v>0.95</x:v>
      </x:c>
      <x:c r="L130" s="23" t="n">
        <x:f>IF(J130=0,0,J130/K130)</x:f>
        <x:v>0</x:v>
      </x:c>
      <x:c r="M130" s="23" t="n">
        <x:f>((H130+I130)/2)*SUMIFS('Cenários de GMD'!$D$4:$D$19,'Cenários de GMD'!$A$4:$A$19,B130,'Cenários de GMD'!$B$4:$B$19,C130)</x:f>
        <x:v>0.24545454545454545</x:v>
      </x:c>
      <x:c r="N130" s="23" t="n">
        <x:f>((H130+I130)/2)*SUMIFS('Cenários de GMD'!$E$4:$E$19,'Cenários de GMD'!$A$4:$A$19,B130,'Cenários de GMD'!$B$4:$B$19,C130)</x:f>
        <x:v>1.2272727272727273</x:v>
      </x:c>
      <x:c r="O130" s="21" t="n">
        <x:f>M130*Insumos!$E$4+N130*Insumos!$E$5</x:f>
        <x:v>3.179290909090909</x:v>
      </x:c>
      <x:c r="P130" s="21" t="n">
        <x:f>O130*Premissas!$B$7</x:f>
        <x:v>95.37872727272728</x:v>
      </x:c>
      <x:c r="Q130" s="21" t="n">
        <x:f>O130*L130</x:f>
        <x:v>0</x:v>
      </x:c>
      <x:c r="R130" s="21" t="n">
        <x:f>Premissas!$B$7*Premissas!$B$8*L130</x:f>
        <x:v>0</x:v>
      </x:c>
      <x:c r="S130" s="21" t="n">
        <x:f>D130*E130</x:f>
        <x:v>2970</x:v>
      </x:c>
      <x:c r="T130" s="21" t="n">
        <x:f>S130*F130</x:f>
        <x:v>50490</x:v>
      </x:c>
      <x:c r="U130" s="21" t="n">
        <x:f>S130-XLOOKUP(A130,Lotes!$A$4:$A$8,Lotes!$D$4:$D$8,Premissas!$B$9)-Q130-R130</x:f>
        <x:v>1020</x:v>
      </x:c>
      <x:c r="V130" s="21" t="n">
        <x:f>U130*F130</x:f>
        <x:v>17340</x:v>
      </x:c>
      <x:c r="W130" s="20" t="n">
        <x:f>IF(S130=0,0,U130/S130)</x:f>
        <x:v>0.3434343434343434</x:v>
      </x:c>
      <x:c r="X130" s="21" t="n">
        <x:f>IF(D130-G130&lt;=0,0,Q130/(D130-G130))</x:f>
        <x:v>0</x:v>
      </x:c>
      <x:c r="Y130" s="20" t="n">
        <x:f>IFERROR(U130/(XLOOKUP(A130,Lotes!$A$4:$A$8,Lotes!$D$4:$D$8,Premissas!$B$9)+Q130+R130),0)</x:f>
        <x:v>0.5230769230769231</x:v>
      </x:c>
      <x:c r="Z130" s="20" t="n">
        <x:f>IF(L130=0,Y130,Y130/MAX(1,L130/Premissas!$B$7))</x:f>
        <x:v>0.5230769230769231</x:v>
      </x:c>
      <x:c r="AA130" s="19" t="str">
        <x:f>IF(L130=0,"Venda imediata",IF(L130&lt;=60,"Baixo",IF(L130&lt;=120,"Médio","Alto")))</x:f>
        <x:v>Venda imediata</x:v>
      </x:c>
      <x:c r="AB130" s="19" t="str">
        <x:f>IF(U130&lt;0,"Não fazer",IF(AA130="Alto","Risco seca",IF(Z130&gt;=0.03,"Bom giro","Margem ok")))</x:f>
        <x:v>Bom giro</x:v>
      </x:c>
    </x:row>
    <x:row r="131">
      <x:c r="A131" s="19" t="str">
        <x:v>Lote maior - otimista 9@</x:v>
      </x:c>
      <x:c r="B131" s="19" t="str">
        <x:v>Intermediária</x:v>
      </x:c>
      <x:c r="C131" s="19" t="str">
        <x:v>Ótimo</x:v>
      </x:c>
      <x:c r="D131" s="19" t="n">
        <x:v>10.5</x:v>
      </x:c>
      <x:c r="E131" s="21" t="n">
        <x:f>Premissas!$B$6</x:f>
        <x:v>330</x:v>
      </x:c>
      <x:c r="F131" s="19" t="n">
        <x:f>XLOOKUP(A131,Lotes!$A$4:$A$8,Lotes!$B$4:$B$8,0)</x:f>
        <x:v>17</x:v>
      </x:c>
      <x:c r="G131" s="23" t="n">
        <x:f>XLOOKUP(A131,Lotes!$A$4:$A$8,Lotes!$C$4:$C$8,0)</x:f>
        <x:v>9</x:v>
      </x:c>
      <x:c r="H131" s="23" t="n">
        <x:f>G131*Premissas!$B$5/Premissas!$B$4</x:f>
        <x:v>245.45454545454544</x:v>
      </x:c>
      <x:c r="I131" s="23" t="n">
        <x:f>D131*Premissas!$B$5/Premissas!$B$4</x:f>
        <x:v>286.3636363636363</x:v>
      </x:c>
      <x:c r="J131" s="23" t="n">
        <x:f>MAX(0,I131-H131)</x:f>
        <x:v>40.90909090909088</x:v>
      </x:c>
      <x:c r="K131" s="23" t="n">
        <x:f>SUMIFS('Cenários de GMD'!$C$4:$C$19,'Cenários de GMD'!$A$4:$A$19,B131,'Cenários de GMD'!$B$4:$B$19,C131)</x:f>
        <x:v>0.95</x:v>
      </x:c>
      <x:c r="L131" s="23" t="n">
        <x:f>IF(J131=0,0,J131/K131)</x:f>
        <x:v>43.062200956937765</x:v>
      </x:c>
      <x:c r="M131" s="23" t="n">
        <x:f>((H131+I131)/2)*SUMIFS('Cenários de GMD'!$D$4:$D$19,'Cenários de GMD'!$A$4:$A$19,B131,'Cenários de GMD'!$B$4:$B$19,C131)</x:f>
        <x:v>0.2659090909090909</x:v>
      </x:c>
      <x:c r="N131" s="23" t="n">
        <x:f>((H131+I131)/2)*SUMIFS('Cenários de GMD'!$E$4:$E$19,'Cenários de GMD'!$A$4:$A$19,B131,'Cenários de GMD'!$B$4:$B$19,C131)</x:f>
        <x:v>1.3295454545454544</x:v>
      </x:c>
      <x:c r="O131" s="21" t="n">
        <x:f>M131*Insumos!$E$4+N131*Insumos!$E$5</x:f>
        <x:v>3.4442318181818177</x:v>
      </x:c>
      <x:c r="P131" s="21" t="n">
        <x:f>O131*Premissas!$B$7</x:f>
        <x:v>103.32695454545453</x:v>
      </x:c>
      <x:c r="Q131" s="21" t="n">
        <x:f>O131*L131</x:f>
        <x:v>148.31620269682458</x:v>
      </x:c>
      <x:c r="R131" s="21" t="n">
        <x:f>Premissas!$B$7*Premissas!$B$8*L131</x:f>
        <x:v>0</x:v>
      </x:c>
      <x:c r="S131" s="21" t="n">
        <x:f>D131*E131</x:f>
        <x:v>3465</x:v>
      </x:c>
      <x:c r="T131" s="21" t="n">
        <x:f>S131*F131</x:f>
        <x:v>58905</x:v>
      </x:c>
      <x:c r="U131" s="21" t="n">
        <x:f>S131-XLOOKUP(A131,Lotes!$A$4:$A$8,Lotes!$D$4:$D$8,Premissas!$B$9)-Q131-R131</x:f>
        <x:v>1366.6837973031754</x:v>
      </x:c>
      <x:c r="V131" s="21" t="n">
        <x:f>U131*F131</x:f>
        <x:v>23233.624554153983</x:v>
      </x:c>
      <x:c r="W131" s="20" t="n">
        <x:f>IF(S131=0,0,U131/S131)</x:f>
        <x:v>0.39442533832703475</x:v>
      </x:c>
      <x:c r="X131" s="21" t="n">
        <x:f>IF(D131-G131&lt;=0,0,Q131/(D131-G131))</x:f>
        <x:v>98.87746846454972</x:v>
      </x:c>
      <x:c r="Y131" s="20" t="n">
        <x:f>IFERROR(U131/(XLOOKUP(A131,Lotes!$A$4:$A$8,Lotes!$D$4:$D$8,Premissas!$B$9)+Q131+R131),0)</x:f>
        <x:v>0.6513240452257236</x:v>
      </x:c>
      <x:c r="Z131" s="20" t="n">
        <x:f>IF(L131=0,Y131,Y131/MAX(1,L131/Premissas!$B$7))</x:f>
        <x:v>0.4537557515072545</x:v>
      </x:c>
      <x:c r="AA131" s="19" t="str">
        <x:f>IF(L131=0,"Venda imediata",IF(L131&lt;=60,"Baixo",IF(L131&lt;=120,"Médio","Alto")))</x:f>
        <x:v>Baixo</x:v>
      </x:c>
      <x:c r="AB131" s="19" t="str">
        <x:f>IF(U131&lt;0,"Não fazer",IF(AA131="Alto","Risco seca",IF(Z131&gt;=0.03,"Bom giro","Margem ok")))</x:f>
        <x:v>Bom giro</x:v>
      </x:c>
    </x:row>
    <x:row r="132">
      <x:c r="A132" s="19" t="str">
        <x:v>Lote maior - otimista 9@</x:v>
      </x:c>
      <x:c r="B132" s="19" t="str">
        <x:v>Intermediária</x:v>
      </x:c>
      <x:c r="C132" s="19" t="str">
        <x:v>Ótimo</x:v>
      </x:c>
      <x:c r="D132" s="19" t="n">
        <x:v>11</x:v>
      </x:c>
      <x:c r="E132" s="21" t="n">
        <x:f>Premissas!$B$6</x:f>
        <x:v>330</x:v>
      </x:c>
      <x:c r="F132" s="19" t="n">
        <x:f>XLOOKUP(A132,Lotes!$A$4:$A$8,Lotes!$B$4:$B$8,0)</x:f>
        <x:v>17</x:v>
      </x:c>
      <x:c r="G132" s="23" t="n">
        <x:f>XLOOKUP(A132,Lotes!$A$4:$A$8,Lotes!$C$4:$C$8,0)</x:f>
        <x:v>9</x:v>
      </x:c>
      <x:c r="H132" s="23" t="n">
        <x:f>G132*Premissas!$B$5/Premissas!$B$4</x:f>
        <x:v>245.45454545454544</x:v>
      </x:c>
      <x:c r="I132" s="23" t="n">
        <x:f>D132*Premissas!$B$5/Premissas!$B$4</x:f>
        <x:v>300</x:v>
      </x:c>
      <x:c r="J132" s="23" t="n">
        <x:f>MAX(0,I132-H132)</x:f>
        <x:v>54.54545454545456</x:v>
      </x:c>
      <x:c r="K132" s="23" t="n">
        <x:f>SUMIFS('Cenários de GMD'!$C$4:$C$19,'Cenários de GMD'!$A$4:$A$19,B132,'Cenários de GMD'!$B$4:$B$19,C132)</x:f>
        <x:v>0.95</x:v>
      </x:c>
      <x:c r="L132" s="23" t="n">
        <x:f>IF(J132=0,0,J132/K132)</x:f>
        <x:v>57.41626794258375</x:v>
      </x:c>
      <x:c r="M132" s="23" t="n">
        <x:f>((H132+I132)/2)*SUMIFS('Cenários de GMD'!$D$4:$D$19,'Cenários de GMD'!$A$4:$A$19,B132,'Cenários de GMD'!$B$4:$B$19,C132)</x:f>
        <x:v>0.27272727272727276</x:v>
      </x:c>
      <x:c r="N132" s="23" t="n">
        <x:f>((H132+I132)/2)*SUMIFS('Cenários de GMD'!$E$4:$E$19,'Cenários de GMD'!$A$4:$A$19,B132,'Cenários de GMD'!$B$4:$B$19,C132)</x:f>
        <x:v>1.3636363636363638</x:v>
      </x:c>
      <x:c r="O132" s="21" t="n">
        <x:f>M132*Insumos!$E$4+N132*Insumos!$E$5</x:f>
        <x:v>3.5325454545454553</x:v>
      </x:c>
      <x:c r="P132" s="21" t="n">
        <x:f>O132*Premissas!$B$7</x:f>
        <x:v>105.97636363636366</x:v>
      </x:c>
      <x:c r="Q132" s="21" t="n">
        <x:f>O132*L132</x:f>
        <x:v>202.82557633753817</x:v>
      </x:c>
      <x:c r="R132" s="21" t="n">
        <x:f>Premissas!$B$7*Premissas!$B$8*L132</x:f>
        <x:v>0</x:v>
      </x:c>
      <x:c r="S132" s="21" t="n">
        <x:f>D132*E132</x:f>
        <x:v>3630</x:v>
      </x:c>
      <x:c r="T132" s="21" t="n">
        <x:f>S132*F132</x:f>
        <x:v>61710</x:v>
      </x:c>
      <x:c r="U132" s="21" t="n">
        <x:f>S132-XLOOKUP(A132,Lotes!$A$4:$A$8,Lotes!$D$4:$D$8,Premissas!$B$9)-Q132-R132</x:f>
        <x:v>1477.1744236624618</x:v>
      </x:c>
      <x:c r="V132" s="21" t="n">
        <x:f>U132*F132</x:f>
        <x:v>25111.96520226185</x:v>
      </x:c>
      <x:c r="W132" s="20" t="n">
        <x:f>IF(S132=0,0,U132/S132)</x:f>
        <x:v>0.4069351029373173</x:v>
      </x:c>
      <x:c r="X132" s="21" t="n">
        <x:f>IF(D132-G132&lt;=0,0,Q132/(D132-G132))</x:f>
        <x:v>101.41278816876908</x:v>
      </x:c>
      <x:c r="Y132" s="20" t="n">
        <x:f>IFERROR(U132/(XLOOKUP(A132,Lotes!$A$4:$A$8,Lotes!$D$4:$D$8,Premissas!$B$9)+Q132+R132),0)</x:f>
        <x:v>0.6861561103224546</x:v>
      </x:c>
      <x:c r="Z132" s="20" t="n">
        <x:f>IF(L132=0,Y132,Y132/MAX(1,L132/Premissas!$B$7))</x:f>
        <x:v>0.3585165676434824</x:v>
      </x:c>
      <x:c r="AA132" s="19" t="str">
        <x:f>IF(L132=0,"Venda imediata",IF(L132&lt;=60,"Baixo",IF(L132&lt;=120,"Médio","Alto")))</x:f>
        <x:v>Baixo</x:v>
      </x:c>
      <x:c r="AB132" s="19" t="str">
        <x:f>IF(U132&lt;0,"Não fazer",IF(AA132="Alto","Risco seca",IF(Z132&gt;=0.03,"Bom giro","Margem ok")))</x:f>
        <x:v>Bom giro</x:v>
      </x:c>
    </x:row>
    <x:row r="133">
      <x:c r="A133" s="19" t="str">
        <x:v>Lote maior - otimista 9@</x:v>
      </x:c>
      <x:c r="B133" s="19" t="str">
        <x:v>Intermediária</x:v>
      </x:c>
      <x:c r="C133" s="19" t="str">
        <x:v>Ótimo</x:v>
      </x:c>
      <x:c r="D133" s="19" t="n">
        <x:v>12</x:v>
      </x:c>
      <x:c r="E133" s="21" t="n">
        <x:f>Premissas!$B$6</x:f>
        <x:v>330</x:v>
      </x:c>
      <x:c r="F133" s="19" t="n">
        <x:f>XLOOKUP(A133,Lotes!$A$4:$A$8,Lotes!$B$4:$B$8,0)</x:f>
        <x:v>17</x:v>
      </x:c>
      <x:c r="G133" s="23" t="n">
        <x:f>XLOOKUP(A133,Lotes!$A$4:$A$8,Lotes!$C$4:$C$8,0)</x:f>
        <x:v>9</x:v>
      </x:c>
      <x:c r="H133" s="23" t="n">
        <x:f>G133*Premissas!$B$5/Premissas!$B$4</x:f>
        <x:v>245.45454545454544</x:v>
      </x:c>
      <x:c r="I133" s="23" t="n">
        <x:f>D133*Premissas!$B$5/Premissas!$B$4</x:f>
        <x:v>327.27272727272725</x:v>
      </x:c>
      <x:c r="J133" s="23" t="n">
        <x:f>MAX(0,I133-H133)</x:f>
        <x:v>81.81818181818181</x:v>
      </x:c>
      <x:c r="K133" s="23" t="n">
        <x:f>SUMIFS('Cenários de GMD'!$C$4:$C$19,'Cenários de GMD'!$A$4:$A$19,B133,'Cenários de GMD'!$B$4:$B$19,C133)</x:f>
        <x:v>0.95</x:v>
      </x:c>
      <x:c r="L133" s="23" t="n">
        <x:f>IF(J133=0,0,J133/K133)</x:f>
        <x:v>86.1244019138756</x:v>
      </x:c>
      <x:c r="M133" s="23" t="n">
        <x:f>((H133+I133)/2)*SUMIFS('Cenários de GMD'!$D$4:$D$19,'Cenários de GMD'!$A$4:$A$19,B133,'Cenários de GMD'!$B$4:$B$19,C133)</x:f>
        <x:v>0.2863636363636364</x:v>
      </x:c>
      <x:c r="N133" s="23" t="n">
        <x:f>((H133+I133)/2)*SUMIFS('Cenários de GMD'!$E$4:$E$19,'Cenários de GMD'!$A$4:$A$19,B133,'Cenários de GMD'!$B$4:$B$19,C133)</x:f>
        <x:v>1.4318181818181819</x:v>
      </x:c>
      <x:c r="O133" s="21" t="n">
        <x:f>M133*Insumos!$E$4+N133*Insumos!$E$5</x:f>
        <x:v>3.7091727272727275</x:v>
      </x:c>
      <x:c r="P133" s="21" t="n">
        <x:f>O133*Premissas!$B$7</x:f>
        <x:v>111.27518181818182</x:v>
      </x:c>
      <x:c r="Q133" s="21" t="n">
        <x:f>O133*L133</x:f>
        <x:v>319.45028273162245</x:v>
      </x:c>
      <x:c r="R133" s="21" t="n">
        <x:f>Premissas!$B$7*Premissas!$B$8*L133</x:f>
        <x:v>0</x:v>
      </x:c>
      <x:c r="S133" s="21" t="n">
        <x:f>D133*E133</x:f>
        <x:v>3960</x:v>
      </x:c>
      <x:c r="T133" s="21" t="n">
        <x:f>S133*F133</x:f>
        <x:v>67320</x:v>
      </x:c>
      <x:c r="U133" s="21" t="n">
        <x:f>S133-XLOOKUP(A133,Lotes!$A$4:$A$8,Lotes!$D$4:$D$8,Premissas!$B$9)-Q133-R133</x:f>
        <x:v>1690.5497172683777</x:v>
      </x:c>
      <x:c r="V133" s="21" t="n">
        <x:f>U133*F133</x:f>
        <x:v>28739.34519356242</x:v>
      </x:c>
      <x:c r="W133" s="20" t="n">
        <x:f>IF(S133=0,0,U133/S133)</x:f>
        <x:v>0.42690649425969135</x:v>
      </x:c>
      <x:c r="X133" s="21" t="n">
        <x:f>IF(D133-G133&lt;=0,0,Q133/(D133-G133))</x:f>
        <x:v>106.48342757720748</x:v>
      </x:c>
      <x:c r="Y133" s="20" t="n">
        <x:f>IFERROR(U133/(XLOOKUP(A133,Lotes!$A$4:$A$8,Lotes!$D$4:$D$8,Premissas!$B$9)+Q133+R133),0)</x:f>
        <x:v>0.7449159517315129</x:v>
      </x:c>
      <x:c r="Z133" s="20" t="n">
        <x:f>IF(L133=0,Y133,Y133/MAX(1,L133/Premissas!$B$7))</x:f>
        <x:v>0.2594790565198103</x:v>
      </x:c>
      <x:c r="AA133" s="19" t="str">
        <x:f>IF(L133=0,"Venda imediata",IF(L133&lt;=60,"Baixo",IF(L133&lt;=120,"Médio","Alto")))</x:f>
        <x:v>Médio</x:v>
      </x:c>
      <x:c r="AB133" s="19" t="str">
        <x:f>IF(U133&lt;0,"Não fazer",IF(AA133="Alto","Risco seca",IF(Z133&gt;=0.03,"Bom giro","Margem ok")))</x:f>
        <x:v>Bom giro</x:v>
      </x:c>
    </x:row>
    <x:row r="134">
      <x:c r="A134" s="19" t="str">
        <x:v>Lote maior - otimista 9@</x:v>
      </x:c>
      <x:c r="B134" s="19" t="str">
        <x:v>Agressiva</x:v>
      </x:c>
      <x:c r="C134" s="19" t="str">
        <x:v>Conservador</x:v>
      </x:c>
      <x:c r="D134" s="19" t="n">
        <x:v>8.5</x:v>
      </x:c>
      <x:c r="E134" s="21" t="n">
        <x:f>Premissas!$B$6</x:f>
        <x:v>330</x:v>
      </x:c>
      <x:c r="F134" s="19" t="n">
        <x:f>XLOOKUP(A134,Lotes!$A$4:$A$8,Lotes!$B$4:$B$8,0)</x:f>
        <x:v>17</x:v>
      </x:c>
      <x:c r="G134" s="23" t="n">
        <x:f>XLOOKUP(A134,Lotes!$A$4:$A$8,Lotes!$C$4:$C$8,0)</x:f>
        <x:v>9</x:v>
      </x:c>
      <x:c r="H134" s="23" t="n">
        <x:f>G134*Premissas!$B$5/Premissas!$B$4</x:f>
        <x:v>245.45454545454544</x:v>
      </x:c>
      <x:c r="I134" s="23" t="n">
        <x:f>D134*Premissas!$B$5/Premissas!$B$4</x:f>
        <x:v>231.8181818181818</x:v>
      </x:c>
      <x:c r="J134" s="23" t="n">
        <x:f>MAX(0,I134-H134)</x:f>
        <x:v>0</x:v>
      </x:c>
      <x:c r="K134" s="23" t="n">
        <x:f>SUMIFS('Cenários de GMD'!$C$4:$C$19,'Cenários de GMD'!$A$4:$A$19,B134,'Cenários de GMD'!$B$4:$B$19,C134)</x:f>
        <x:v>0.7</x:v>
      </x:c>
      <x:c r="L134" s="23" t="n">
        <x:f>IF(J134=0,0,J134/K134)</x:f>
        <x:v>0</x:v>
      </x:c>
      <x:c r="M134" s="23" t="n">
        <x:f>((H134+I134)/2)*SUMIFS('Cenários de GMD'!$D$4:$D$19,'Cenários de GMD'!$A$4:$A$19,B134,'Cenários de GMD'!$B$4:$B$19,C134)</x:f>
        <x:v>0.23863636363636362</x:v>
      </x:c>
      <x:c r="N134" s="23" t="n">
        <x:f>((H134+I134)/2)*SUMIFS('Cenários de GMD'!$E$4:$E$19,'Cenários de GMD'!$A$4:$A$19,B134,'Cenários de GMD'!$B$4:$B$19,C134)</x:f>
        <x:v>1.6704545454545454</x:v>
      </x:c>
      <x:c r="O134" s="21" t="n">
        <x:f>M134*Insumos!$E$4+N134*Insumos!$E$5</x:f>
        <x:v>4.037568181818182</x:v>
      </x:c>
      <x:c r="P134" s="21" t="n">
        <x:f>O134*Premissas!$B$7</x:f>
        <x:v>121.12704545454547</x:v>
      </x:c>
      <x:c r="Q134" s="21" t="n">
        <x:f>O134*L134</x:f>
        <x:v>0</x:v>
      </x:c>
      <x:c r="R134" s="21" t="n">
        <x:f>Premissas!$B$7*Premissas!$B$8*L134</x:f>
        <x:v>0</x:v>
      </x:c>
      <x:c r="S134" s="21" t="n">
        <x:f>D134*E134</x:f>
        <x:v>2805</x:v>
      </x:c>
      <x:c r="T134" s="21" t="n">
        <x:f>S134*F134</x:f>
        <x:v>47685</x:v>
      </x:c>
      <x:c r="U134" s="21" t="n">
        <x:f>S134-XLOOKUP(A134,Lotes!$A$4:$A$8,Lotes!$D$4:$D$8,Premissas!$B$9)-Q134-R134</x:f>
        <x:v>855</x:v>
      </x:c>
      <x:c r="V134" s="21" t="n">
        <x:f>U134*F134</x:f>
        <x:v>14535</x:v>
      </x:c>
      <x:c r="W134" s="20" t="n">
        <x:f>IF(S134=0,0,U134/S134)</x:f>
        <x:v>0.3048128342245989</x:v>
      </x:c>
      <x:c r="X134" s="21" t="n">
        <x:f>IF(D134-G134&lt;=0,0,Q134/(D134-G134))</x:f>
        <x:v>0</x:v>
      </x:c>
      <x:c r="Y134" s="20" t="n">
        <x:f>IFERROR(U134/(XLOOKUP(A134,Lotes!$A$4:$A$8,Lotes!$D$4:$D$8,Premissas!$B$9)+Q134+R134),0)</x:f>
        <x:v>0.43846153846153846</x:v>
      </x:c>
      <x:c r="Z134" s="20" t="n">
        <x:f>IF(L134=0,Y134,Y134/MAX(1,L134/Premissas!$B$7))</x:f>
        <x:v>0.43846153846153846</x:v>
      </x:c>
      <x:c r="AA134" s="19" t="str">
        <x:f>IF(L134=0,"Venda imediata",IF(L134&lt;=60,"Baixo",IF(L134&lt;=120,"Médio","Alto")))</x:f>
        <x:v>Venda imediata</x:v>
      </x:c>
      <x:c r="AB134" s="19" t="str">
        <x:f>IF(U134&lt;0,"Não fazer",IF(AA134="Alto","Risco seca",IF(Z134&gt;=0.03,"Bom giro","Margem ok")))</x:f>
        <x:v>Bom giro</x:v>
      </x:c>
    </x:row>
    <x:row r="135">
      <x:c r="A135" s="19" t="str">
        <x:v>Lote maior - otimista 9@</x:v>
      </x:c>
      <x:c r="B135" s="19" t="str">
        <x:v>Agressiva</x:v>
      </x:c>
      <x:c r="C135" s="19" t="str">
        <x:v>Conservador</x:v>
      </x:c>
      <x:c r="D135" s="19" t="n">
        <x:v>9</x:v>
      </x:c>
      <x:c r="E135" s="21" t="n">
        <x:f>Premissas!$B$6</x:f>
        <x:v>330</x:v>
      </x:c>
      <x:c r="F135" s="19" t="n">
        <x:f>XLOOKUP(A135,Lotes!$A$4:$A$8,Lotes!$B$4:$B$8,0)</x:f>
        <x:v>17</x:v>
      </x:c>
      <x:c r="G135" s="23" t="n">
        <x:f>XLOOKUP(A135,Lotes!$A$4:$A$8,Lotes!$C$4:$C$8,0)</x:f>
        <x:v>9</x:v>
      </x:c>
      <x:c r="H135" s="23" t="n">
        <x:f>G135*Premissas!$B$5/Premissas!$B$4</x:f>
        <x:v>245.45454545454544</x:v>
      </x:c>
      <x:c r="I135" s="23" t="n">
        <x:f>D135*Premissas!$B$5/Premissas!$B$4</x:f>
        <x:v>245.45454545454544</x:v>
      </x:c>
      <x:c r="J135" s="23" t="n">
        <x:f>MAX(0,I135-H135)</x:f>
        <x:v>0</x:v>
      </x:c>
      <x:c r="K135" s="23" t="n">
        <x:f>SUMIFS('Cenários de GMD'!$C$4:$C$19,'Cenários de GMD'!$A$4:$A$19,B135,'Cenários de GMD'!$B$4:$B$19,C135)</x:f>
        <x:v>0.7</x:v>
      </x:c>
      <x:c r="L135" s="23" t="n">
        <x:f>IF(J135=0,0,J135/K135)</x:f>
        <x:v>0</x:v>
      </x:c>
      <x:c r="M135" s="23" t="n">
        <x:f>((H135+I135)/2)*SUMIFS('Cenários de GMD'!$D$4:$D$19,'Cenários de GMD'!$A$4:$A$19,B135,'Cenários de GMD'!$B$4:$B$19,C135)</x:f>
        <x:v>0.24545454545454545</x:v>
      </x:c>
      <x:c r="N135" s="23" t="n">
        <x:f>((H135+I135)/2)*SUMIFS('Cenários de GMD'!$E$4:$E$19,'Cenários de GMD'!$A$4:$A$19,B135,'Cenários de GMD'!$B$4:$B$19,C135)</x:f>
        <x:v>1.718181818181818</x:v>
      </x:c>
      <x:c r="O135" s="21" t="n">
        <x:f>M135*Insumos!$E$4+N135*Insumos!$E$5</x:f>
        <x:v>4.152927272727273</x:v>
      </x:c>
      <x:c r="P135" s="21" t="n">
        <x:f>O135*Premissas!$B$7</x:f>
        <x:v>124.58781818181818</x:v>
      </x:c>
      <x:c r="Q135" s="21" t="n">
        <x:f>O135*L135</x:f>
        <x:v>0</x:v>
      </x:c>
      <x:c r="R135" s="21" t="n">
        <x:f>Premissas!$B$7*Premissas!$B$8*L135</x:f>
        <x:v>0</x:v>
      </x:c>
      <x:c r="S135" s="21" t="n">
        <x:f>D135*E135</x:f>
        <x:v>2970</x:v>
      </x:c>
      <x:c r="T135" s="21" t="n">
        <x:f>S135*F135</x:f>
        <x:v>50490</x:v>
      </x:c>
      <x:c r="U135" s="21" t="n">
        <x:f>S135-XLOOKUP(A135,Lotes!$A$4:$A$8,Lotes!$D$4:$D$8,Premissas!$B$9)-Q135-R135</x:f>
        <x:v>1020</x:v>
      </x:c>
      <x:c r="V135" s="21" t="n">
        <x:f>U135*F135</x:f>
        <x:v>17340</x:v>
      </x:c>
      <x:c r="W135" s="20" t="n">
        <x:f>IF(S135=0,0,U135/S135)</x:f>
        <x:v>0.3434343434343434</x:v>
      </x:c>
      <x:c r="X135" s="21" t="n">
        <x:f>IF(D135-G135&lt;=0,0,Q135/(D135-G135))</x:f>
        <x:v>0</x:v>
      </x:c>
      <x:c r="Y135" s="20" t="n">
        <x:f>IFERROR(U135/(XLOOKUP(A135,Lotes!$A$4:$A$8,Lotes!$D$4:$D$8,Premissas!$B$9)+Q135+R135),0)</x:f>
        <x:v>0.5230769230769231</x:v>
      </x:c>
      <x:c r="Z135" s="20" t="n">
        <x:f>IF(L135=0,Y135,Y135/MAX(1,L135/Premissas!$B$7))</x:f>
        <x:v>0.5230769230769231</x:v>
      </x:c>
      <x:c r="AA135" s="19" t="str">
        <x:f>IF(L135=0,"Venda imediata",IF(L135&lt;=60,"Baixo",IF(L135&lt;=120,"Médio","Alto")))</x:f>
        <x:v>Venda imediata</x:v>
      </x:c>
      <x:c r="AB135" s="19" t="str">
        <x:f>IF(U135&lt;0,"Não fazer",IF(AA135="Alto","Risco seca",IF(Z135&gt;=0.03,"Bom giro","Margem ok")))</x:f>
        <x:v>Bom giro</x:v>
      </x:c>
    </x:row>
    <x:row r="136">
      <x:c r="A136" s="19" t="str">
        <x:v>Lote maior - otimista 9@</x:v>
      </x:c>
      <x:c r="B136" s="19" t="str">
        <x:v>Agressiva</x:v>
      </x:c>
      <x:c r="C136" s="19" t="str">
        <x:v>Conservador</x:v>
      </x:c>
      <x:c r="D136" s="19" t="n">
        <x:v>10.5</x:v>
      </x:c>
      <x:c r="E136" s="21" t="n">
        <x:f>Premissas!$B$6</x:f>
        <x:v>330</x:v>
      </x:c>
      <x:c r="F136" s="19" t="n">
        <x:f>XLOOKUP(A136,Lotes!$A$4:$A$8,Lotes!$B$4:$B$8,0)</x:f>
        <x:v>17</x:v>
      </x:c>
      <x:c r="G136" s="23" t="n">
        <x:f>XLOOKUP(A136,Lotes!$A$4:$A$8,Lotes!$C$4:$C$8,0)</x:f>
        <x:v>9</x:v>
      </x:c>
      <x:c r="H136" s="23" t="n">
        <x:f>G136*Premissas!$B$5/Premissas!$B$4</x:f>
        <x:v>245.45454545454544</x:v>
      </x:c>
      <x:c r="I136" s="23" t="n">
        <x:f>D136*Premissas!$B$5/Premissas!$B$4</x:f>
        <x:v>286.3636363636363</x:v>
      </x:c>
      <x:c r="J136" s="23" t="n">
        <x:f>MAX(0,I136-H136)</x:f>
        <x:v>40.90909090909088</x:v>
      </x:c>
      <x:c r="K136" s="23" t="n">
        <x:f>SUMIFS('Cenários de GMD'!$C$4:$C$19,'Cenários de GMD'!$A$4:$A$19,B136,'Cenários de GMD'!$B$4:$B$19,C136)</x:f>
        <x:v>0.7</x:v>
      </x:c>
      <x:c r="L136" s="23" t="n">
        <x:f>IF(J136=0,0,J136/K136)</x:f>
        <x:v>58.4415584415584</x:v>
      </x:c>
      <x:c r="M136" s="23" t="n">
        <x:f>((H136+I136)/2)*SUMIFS('Cenários de GMD'!$D$4:$D$19,'Cenários de GMD'!$A$4:$A$19,B136,'Cenários de GMD'!$B$4:$B$19,C136)</x:f>
        <x:v>0.2659090909090909</x:v>
      </x:c>
      <x:c r="N136" s="23" t="n">
        <x:f>((H136+I136)/2)*SUMIFS('Cenários de GMD'!$E$4:$E$19,'Cenários de GMD'!$A$4:$A$19,B136,'Cenários de GMD'!$B$4:$B$19,C136)</x:f>
        <x:v>1.861363636363636</x:v>
      </x:c>
      <x:c r="O136" s="21" t="n">
        <x:f>M136*Insumos!$E$4+N136*Insumos!$E$5</x:f>
        <x:v>4.499004545454545</x:v>
      </x:c>
      <x:c r="P136" s="21" t="n">
        <x:f>O136*Premissas!$B$7</x:f>
        <x:v>134.97013636363636</x:v>
      </x:c>
      <x:c r="Q136" s="21" t="n">
        <x:f>O136*L136</x:f>
        <x:v>262.92883707201867</x:v>
      </x:c>
      <x:c r="R136" s="21" t="n">
        <x:f>Premissas!$B$7*Premissas!$B$8*L136</x:f>
        <x:v>0</x:v>
      </x:c>
      <x:c r="S136" s="21" t="n">
        <x:f>D136*E136</x:f>
        <x:v>3465</x:v>
      </x:c>
      <x:c r="T136" s="21" t="n">
        <x:f>S136*F136</x:f>
        <x:v>58905</x:v>
      </x:c>
      <x:c r="U136" s="21" t="n">
        <x:f>S136-XLOOKUP(A136,Lotes!$A$4:$A$8,Lotes!$D$4:$D$8,Premissas!$B$9)-Q136-R136</x:f>
        <x:v>1252.0711629279813</x:v>
      </x:c>
      <x:c r="V136" s="21" t="n">
        <x:f>U136*F136</x:f>
        <x:v>21285.209769775684</x:v>
      </x:c>
      <x:c r="W136" s="20" t="n">
        <x:f>IF(S136=0,0,U136/S136)</x:f>
        <x:v>0.36134809896911435</x:v>
      </x:c>
      <x:c r="X136" s="21" t="n">
        <x:f>IF(D136-G136&lt;=0,0,Q136/(D136-G136))</x:f>
        <x:v>175.28589138134578</x:v>
      </x:c>
      <x:c r="Y136" s="20" t="n">
        <x:f>IFERROR(U136/(XLOOKUP(A136,Lotes!$A$4:$A$8,Lotes!$D$4:$D$8,Premissas!$B$9)+Q136+R136),0)</x:f>
        <x:v>0.5657982046022898</x:v>
      </x:c>
      <x:c r="Z136" s="20" t="n">
        <x:f>IF(L136=0,Y136,Y136/MAX(1,L136/Premissas!$B$7))</x:f>
        <x:v>0.290443078362509</x:v>
      </x:c>
      <x:c r="AA136" s="19" t="str">
        <x:f>IF(L136=0,"Venda imediata",IF(L136&lt;=60,"Baixo",IF(L136&lt;=120,"Médio","Alto")))</x:f>
        <x:v>Baixo</x:v>
      </x:c>
      <x:c r="AB136" s="19" t="str">
        <x:f>IF(U136&lt;0,"Não fazer",IF(AA136="Alto","Risco seca",IF(Z136&gt;=0.03,"Bom giro","Margem ok")))</x:f>
        <x:v>Bom giro</x:v>
      </x:c>
    </x:row>
    <x:row r="137">
      <x:c r="A137" s="19" t="str">
        <x:v>Lote maior - otimista 9@</x:v>
      </x:c>
      <x:c r="B137" s="19" t="str">
        <x:v>Agressiva</x:v>
      </x:c>
      <x:c r="C137" s="19" t="str">
        <x:v>Conservador</x:v>
      </x:c>
      <x:c r="D137" s="19" t="n">
        <x:v>11</x:v>
      </x:c>
      <x:c r="E137" s="21" t="n">
        <x:f>Premissas!$B$6</x:f>
        <x:v>330</x:v>
      </x:c>
      <x:c r="F137" s="19" t="n">
        <x:f>XLOOKUP(A137,Lotes!$A$4:$A$8,Lotes!$B$4:$B$8,0)</x:f>
        <x:v>17</x:v>
      </x:c>
      <x:c r="G137" s="23" t="n">
        <x:f>XLOOKUP(A137,Lotes!$A$4:$A$8,Lotes!$C$4:$C$8,0)</x:f>
        <x:v>9</x:v>
      </x:c>
      <x:c r="H137" s="23" t="n">
        <x:f>G137*Premissas!$B$5/Premissas!$B$4</x:f>
        <x:v>245.45454545454544</x:v>
      </x:c>
      <x:c r="I137" s="23" t="n">
        <x:f>D137*Premissas!$B$5/Premissas!$B$4</x:f>
        <x:v>300</x:v>
      </x:c>
      <x:c r="J137" s="23" t="n">
        <x:f>MAX(0,I137-H137)</x:f>
        <x:v>54.54545454545456</x:v>
      </x:c>
      <x:c r="K137" s="23" t="n">
        <x:f>SUMIFS('Cenários de GMD'!$C$4:$C$19,'Cenários de GMD'!$A$4:$A$19,B137,'Cenários de GMD'!$B$4:$B$19,C137)</x:f>
        <x:v>0.7</x:v>
      </x:c>
      <x:c r="L137" s="23" t="n">
        <x:f>IF(J137=0,0,J137/K137)</x:f>
        <x:v>77.92207792207795</x:v>
      </x:c>
      <x:c r="M137" s="23" t="n">
        <x:f>((H137+I137)/2)*SUMIFS('Cenários de GMD'!$D$4:$D$19,'Cenários de GMD'!$A$4:$A$19,B137,'Cenários de GMD'!$B$4:$B$19,C137)</x:f>
        <x:v>0.27272727272727276</x:v>
      </x:c>
      <x:c r="N137" s="23" t="n">
        <x:f>((H137+I137)/2)*SUMIFS('Cenários de GMD'!$E$4:$E$19,'Cenários de GMD'!$A$4:$A$19,B137,'Cenários de GMD'!$B$4:$B$19,C137)</x:f>
        <x:v>1.9090909090909092</x:v>
      </x:c>
      <x:c r="O137" s="21" t="n">
        <x:f>M137*Insumos!$E$4+N137*Insumos!$E$5</x:f>
        <x:v>4.6143636363636364</x:v>
      </x:c>
      <x:c r="P137" s="21" t="n">
        <x:f>O137*Premissas!$B$7</x:f>
        <x:v>138.4309090909091</x:v>
      </x:c>
      <x:c r="Q137" s="21" t="n">
        <x:f>O137*L137</x:f>
        <x:v>359.5608028335302</x:v>
      </x:c>
      <x:c r="R137" s="21" t="n">
        <x:f>Premissas!$B$7*Premissas!$B$8*L137</x:f>
        <x:v>0</x:v>
      </x:c>
      <x:c r="S137" s="21" t="n">
        <x:f>D137*E137</x:f>
        <x:v>3630</x:v>
      </x:c>
      <x:c r="T137" s="21" t="n">
        <x:f>S137*F137</x:f>
        <x:v>61710</x:v>
      </x:c>
      <x:c r="U137" s="21" t="n">
        <x:f>S137-XLOOKUP(A137,Lotes!$A$4:$A$8,Lotes!$D$4:$D$8,Premissas!$B$9)-Q137-R137</x:f>
        <x:v>1320.4391971664697</x:v>
      </x:c>
      <x:c r="V137" s="21" t="n">
        <x:f>U137*F137</x:f>
        <x:v>22447.466351829986</x:v>
      </x:c>
      <x:c r="W137" s="20" t="n">
        <x:f>IF(S137=0,0,U137/S137)</x:f>
        <x:v>0.363757354591314</x:v>
      </x:c>
      <x:c r="X137" s="21" t="n">
        <x:f>IF(D137-G137&lt;=0,0,Q137/(D137-G137))</x:f>
        <x:v>179.7804014167651</x:v>
      </x:c>
      <x:c r="Y137" s="20" t="n">
        <x:f>IFERROR(U137/(XLOOKUP(A137,Lotes!$A$4:$A$8,Lotes!$D$4:$D$8,Premissas!$B$9)+Q137+R137),0)</x:f>
        <x:v>0.5717274018274223</x:v>
      </x:c>
      <x:c r="Z137" s="20" t="n">
        <x:f>IF(L137=0,Y137,Y137/MAX(1,L137/Premissas!$B$7))</x:f>
        <x:v>0.22011504970355752</x:v>
      </x:c>
      <x:c r="AA137" s="19" t="str">
        <x:f>IF(L137=0,"Venda imediata",IF(L137&lt;=60,"Baixo",IF(L137&lt;=120,"Médio","Alto")))</x:f>
        <x:v>Médio</x:v>
      </x:c>
      <x:c r="AB137" s="19" t="str">
        <x:f>IF(U137&lt;0,"Não fazer",IF(AA137="Alto","Risco seca",IF(Z137&gt;=0.03,"Bom giro","Margem ok")))</x:f>
        <x:v>Bom giro</x:v>
      </x:c>
    </x:row>
    <x:row r="138">
      <x:c r="A138" s="19" t="str">
        <x:v>Lote maior - otimista 9@</x:v>
      </x:c>
      <x:c r="B138" s="19" t="str">
        <x:v>Agressiva</x:v>
      </x:c>
      <x:c r="C138" s="19" t="str">
        <x:v>Conservador</x:v>
      </x:c>
      <x:c r="D138" s="19" t="n">
        <x:v>12</x:v>
      </x:c>
      <x:c r="E138" s="21" t="n">
        <x:f>Premissas!$B$6</x:f>
        <x:v>330</x:v>
      </x:c>
      <x:c r="F138" s="19" t="n">
        <x:f>XLOOKUP(A138,Lotes!$A$4:$A$8,Lotes!$B$4:$B$8,0)</x:f>
        <x:v>17</x:v>
      </x:c>
      <x:c r="G138" s="23" t="n">
        <x:f>XLOOKUP(A138,Lotes!$A$4:$A$8,Lotes!$C$4:$C$8,0)</x:f>
        <x:v>9</x:v>
      </x:c>
      <x:c r="H138" s="23" t="n">
        <x:f>G138*Premissas!$B$5/Premissas!$B$4</x:f>
        <x:v>245.45454545454544</x:v>
      </x:c>
      <x:c r="I138" s="23" t="n">
        <x:f>D138*Premissas!$B$5/Premissas!$B$4</x:f>
        <x:v>327.27272727272725</x:v>
      </x:c>
      <x:c r="J138" s="23" t="n">
        <x:f>MAX(0,I138-H138)</x:f>
        <x:v>81.81818181818181</x:v>
      </x:c>
      <x:c r="K138" s="23" t="n">
        <x:f>SUMIFS('Cenários de GMD'!$C$4:$C$19,'Cenários de GMD'!$A$4:$A$19,B138,'Cenários de GMD'!$B$4:$B$19,C138)</x:f>
        <x:v>0.7</x:v>
      </x:c>
      <x:c r="L138" s="23" t="n">
        <x:f>IF(J138=0,0,J138/K138)</x:f>
        <x:v>116.88311688311688</x:v>
      </x:c>
      <x:c r="M138" s="23" t="n">
        <x:f>((H138+I138)/2)*SUMIFS('Cenários de GMD'!$D$4:$D$19,'Cenários de GMD'!$A$4:$A$19,B138,'Cenários de GMD'!$B$4:$B$19,C138)</x:f>
        <x:v>0.2863636363636364</x:v>
      </x:c>
      <x:c r="N138" s="23" t="n">
        <x:f>((H138+I138)/2)*SUMIFS('Cenários de GMD'!$E$4:$E$19,'Cenários de GMD'!$A$4:$A$19,B138,'Cenários de GMD'!$B$4:$B$19,C138)</x:f>
        <x:v>2.004545454545455</x:v>
      </x:c>
      <x:c r="O138" s="21" t="n">
        <x:f>M138*Insumos!$E$4+N138*Insumos!$E$5</x:f>
        <x:v>4.845081818181819</x:v>
      </x:c>
      <x:c r="P138" s="21" t="n">
        <x:f>O138*Premissas!$B$7</x:f>
        <x:v>145.35245454545455</x:v>
      </x:c>
      <x:c r="Q138" s="21" t="n">
        <x:f>O138*L138</x:f>
        <x:v>566.30826446281</x:v>
      </x:c>
      <x:c r="R138" s="21" t="n">
        <x:f>Premissas!$B$7*Premissas!$B$8*L138</x:f>
        <x:v>0</x:v>
      </x:c>
      <x:c r="S138" s="21" t="n">
        <x:f>D138*E138</x:f>
        <x:v>3960</x:v>
      </x:c>
      <x:c r="T138" s="21" t="n">
        <x:f>S138*F138</x:f>
        <x:v>67320</x:v>
      </x:c>
      <x:c r="U138" s="21" t="n">
        <x:f>S138-XLOOKUP(A138,Lotes!$A$4:$A$8,Lotes!$D$4:$D$8,Premissas!$B$9)-Q138-R138</x:f>
        <x:v>1443.69173553719</x:v>
      </x:c>
      <x:c r="V138" s="21" t="n">
        <x:f>U138*F138</x:f>
        <x:v>24542.75950413223</x:v>
      </x:c>
      <x:c r="W138" s="20" t="n">
        <x:f>IF(S138=0,0,U138/S138)</x:f>
        <x:v>0.364568620085149</x:v>
      </x:c>
      <x:c r="X138" s="21" t="n">
        <x:f>IF(D138-G138&lt;=0,0,Q138/(D138-G138))</x:f>
        <x:v>188.76942148760335</x:v>
      </x:c>
      <x:c r="Y138" s="20" t="n">
        <x:f>IFERROR(U138/(XLOOKUP(A138,Lotes!$A$4:$A$8,Lotes!$D$4:$D$8,Premissas!$B$9)+Q138+R138),0)</x:f>
        <x:v>0.57373405155723</x:v>
      </x:c>
      <x:c r="Z138" s="20" t="n">
        <x:f>IF(L138=0,Y138,Y138/MAX(1,L138/Premissas!$B$7))</x:f>
        <x:v>0.1472584065663557</x:v>
      </x:c>
      <x:c r="AA138" s="19" t="str">
        <x:f>IF(L138=0,"Venda imediata",IF(L138&lt;=60,"Baixo",IF(L138&lt;=120,"Médio","Alto")))</x:f>
        <x:v>Médio</x:v>
      </x:c>
      <x:c r="AB138" s="19" t="str">
        <x:f>IF(U138&lt;0,"Não fazer",IF(AA138="Alto","Risco seca",IF(Z138&gt;=0.03,"Bom giro","Margem ok")))</x:f>
        <x:v>Bom giro</x:v>
      </x:c>
    </x:row>
    <x:row r="139">
      <x:c r="A139" s="19" t="str">
        <x:v>Lote maior - otimista 9@</x:v>
      </x:c>
      <x:c r="B139" s="19" t="str">
        <x:v>Agressiva</x:v>
      </x:c>
      <x:c r="C139" s="19" t="str">
        <x:v>Base</x:v>
      </x:c>
      <x:c r="D139" s="19" t="n">
        <x:v>8.5</x:v>
      </x:c>
      <x:c r="E139" s="21" t="n">
        <x:f>Premissas!$B$6</x:f>
        <x:v>330</x:v>
      </x:c>
      <x:c r="F139" s="19" t="n">
        <x:f>XLOOKUP(A139,Lotes!$A$4:$A$8,Lotes!$B$4:$B$8,0)</x:f>
        <x:v>17</x:v>
      </x:c>
      <x:c r="G139" s="23" t="n">
        <x:f>XLOOKUP(A139,Lotes!$A$4:$A$8,Lotes!$C$4:$C$8,0)</x:f>
        <x:v>9</x:v>
      </x:c>
      <x:c r="H139" s="23" t="n">
        <x:f>G139*Premissas!$B$5/Premissas!$B$4</x:f>
        <x:v>245.45454545454544</x:v>
      </x:c>
      <x:c r="I139" s="23" t="n">
        <x:f>D139*Premissas!$B$5/Premissas!$B$4</x:f>
        <x:v>231.8181818181818</x:v>
      </x:c>
      <x:c r="J139" s="23" t="n">
        <x:f>MAX(0,I139-H139)</x:f>
        <x:v>0</x:v>
      </x:c>
      <x:c r="K139" s="23" t="n">
        <x:f>SUMIFS('Cenários de GMD'!$C$4:$C$19,'Cenários de GMD'!$A$4:$A$19,B139,'Cenários de GMD'!$B$4:$B$19,C139)</x:f>
        <x:v>0.85</x:v>
      </x:c>
      <x:c r="L139" s="23" t="n">
        <x:f>IF(J139=0,0,J139/K139)</x:f>
        <x:v>0</x:v>
      </x:c>
      <x:c r="M139" s="23" t="n">
        <x:f>((H139+I139)/2)*SUMIFS('Cenários de GMD'!$D$4:$D$19,'Cenários de GMD'!$A$4:$A$19,B139,'Cenários de GMD'!$B$4:$B$19,C139)</x:f>
        <x:v>0.23863636363636362</x:v>
      </x:c>
      <x:c r="N139" s="23" t="n">
        <x:f>((H139+I139)/2)*SUMIFS('Cenários de GMD'!$E$4:$E$19,'Cenários de GMD'!$A$4:$A$19,B139,'Cenários de GMD'!$B$4:$B$19,C139)</x:f>
        <x:v>1.6704545454545454</x:v>
      </x:c>
      <x:c r="O139" s="21" t="n">
        <x:f>M139*Insumos!$E$4+N139*Insumos!$E$5</x:f>
        <x:v>4.037568181818182</x:v>
      </x:c>
      <x:c r="P139" s="21" t="n">
        <x:f>O139*Premissas!$B$7</x:f>
        <x:v>121.12704545454547</x:v>
      </x:c>
      <x:c r="Q139" s="21" t="n">
        <x:f>O139*L139</x:f>
        <x:v>0</x:v>
      </x:c>
      <x:c r="R139" s="21" t="n">
        <x:f>Premissas!$B$7*Premissas!$B$8*L139</x:f>
        <x:v>0</x:v>
      </x:c>
      <x:c r="S139" s="21" t="n">
        <x:f>D139*E139</x:f>
        <x:v>2805</x:v>
      </x:c>
      <x:c r="T139" s="21" t="n">
        <x:f>S139*F139</x:f>
        <x:v>47685</x:v>
      </x:c>
      <x:c r="U139" s="21" t="n">
        <x:f>S139-XLOOKUP(A139,Lotes!$A$4:$A$8,Lotes!$D$4:$D$8,Premissas!$B$9)-Q139-R139</x:f>
        <x:v>855</x:v>
      </x:c>
      <x:c r="V139" s="21" t="n">
        <x:f>U139*F139</x:f>
        <x:v>14535</x:v>
      </x:c>
      <x:c r="W139" s="20" t="n">
        <x:f>IF(S139=0,0,U139/S139)</x:f>
        <x:v>0.3048128342245989</x:v>
      </x:c>
      <x:c r="X139" s="21" t="n">
        <x:f>IF(D139-G139&lt;=0,0,Q139/(D139-G139))</x:f>
        <x:v>0</x:v>
      </x:c>
      <x:c r="Y139" s="20" t="n">
        <x:f>IFERROR(U139/(XLOOKUP(A139,Lotes!$A$4:$A$8,Lotes!$D$4:$D$8,Premissas!$B$9)+Q139+R139),0)</x:f>
        <x:v>0.43846153846153846</x:v>
      </x:c>
      <x:c r="Z139" s="20" t="n">
        <x:f>IF(L139=0,Y139,Y139/MAX(1,L139/Premissas!$B$7))</x:f>
        <x:v>0.43846153846153846</x:v>
      </x:c>
      <x:c r="AA139" s="19" t="str">
        <x:f>IF(L139=0,"Venda imediata",IF(L139&lt;=60,"Baixo",IF(L139&lt;=120,"Médio","Alto")))</x:f>
        <x:v>Venda imediata</x:v>
      </x:c>
      <x:c r="AB139" s="19" t="str">
        <x:f>IF(U139&lt;0,"Não fazer",IF(AA139="Alto","Risco seca",IF(Z139&gt;=0.03,"Bom giro","Margem ok")))</x:f>
        <x:v>Bom giro</x:v>
      </x:c>
    </x:row>
    <x:row r="140">
      <x:c r="A140" s="19" t="str">
        <x:v>Lote maior - otimista 9@</x:v>
      </x:c>
      <x:c r="B140" s="19" t="str">
        <x:v>Agressiva</x:v>
      </x:c>
      <x:c r="C140" s="19" t="str">
        <x:v>Base</x:v>
      </x:c>
      <x:c r="D140" s="19" t="n">
        <x:v>9</x:v>
      </x:c>
      <x:c r="E140" s="21" t="n">
        <x:f>Premissas!$B$6</x:f>
        <x:v>330</x:v>
      </x:c>
      <x:c r="F140" s="19" t="n">
        <x:f>XLOOKUP(A140,Lotes!$A$4:$A$8,Lotes!$B$4:$B$8,0)</x:f>
        <x:v>17</x:v>
      </x:c>
      <x:c r="G140" s="23" t="n">
        <x:f>XLOOKUP(A140,Lotes!$A$4:$A$8,Lotes!$C$4:$C$8,0)</x:f>
        <x:v>9</x:v>
      </x:c>
      <x:c r="H140" s="23" t="n">
        <x:f>G140*Premissas!$B$5/Premissas!$B$4</x:f>
        <x:v>245.45454545454544</x:v>
      </x:c>
      <x:c r="I140" s="23" t="n">
        <x:f>D140*Premissas!$B$5/Premissas!$B$4</x:f>
        <x:v>245.45454545454544</x:v>
      </x:c>
      <x:c r="J140" s="23" t="n">
        <x:f>MAX(0,I140-H140)</x:f>
        <x:v>0</x:v>
      </x:c>
      <x:c r="K140" s="23" t="n">
        <x:f>SUMIFS('Cenários de GMD'!$C$4:$C$19,'Cenários de GMD'!$A$4:$A$19,B140,'Cenários de GMD'!$B$4:$B$19,C140)</x:f>
        <x:v>0.85</x:v>
      </x:c>
      <x:c r="L140" s="23" t="n">
        <x:f>IF(J140=0,0,J140/K140)</x:f>
        <x:v>0</x:v>
      </x:c>
      <x:c r="M140" s="23" t="n">
        <x:f>((H140+I140)/2)*SUMIFS('Cenários de GMD'!$D$4:$D$19,'Cenários de GMD'!$A$4:$A$19,B140,'Cenários de GMD'!$B$4:$B$19,C140)</x:f>
        <x:v>0.24545454545454545</x:v>
      </x:c>
      <x:c r="N140" s="23" t="n">
        <x:f>((H140+I140)/2)*SUMIFS('Cenários de GMD'!$E$4:$E$19,'Cenários de GMD'!$A$4:$A$19,B140,'Cenários de GMD'!$B$4:$B$19,C140)</x:f>
        <x:v>1.718181818181818</x:v>
      </x:c>
      <x:c r="O140" s="21" t="n">
        <x:f>M140*Insumos!$E$4+N140*Insumos!$E$5</x:f>
        <x:v>4.152927272727273</x:v>
      </x:c>
      <x:c r="P140" s="21" t="n">
        <x:f>O140*Premissas!$B$7</x:f>
        <x:v>124.58781818181818</x:v>
      </x:c>
      <x:c r="Q140" s="21" t="n">
        <x:f>O140*L140</x:f>
        <x:v>0</x:v>
      </x:c>
      <x:c r="R140" s="21" t="n">
        <x:f>Premissas!$B$7*Premissas!$B$8*L140</x:f>
        <x:v>0</x:v>
      </x:c>
      <x:c r="S140" s="21" t="n">
        <x:f>D140*E140</x:f>
        <x:v>2970</x:v>
      </x:c>
      <x:c r="T140" s="21" t="n">
        <x:f>S140*F140</x:f>
        <x:v>50490</x:v>
      </x:c>
      <x:c r="U140" s="21" t="n">
        <x:f>S140-XLOOKUP(A140,Lotes!$A$4:$A$8,Lotes!$D$4:$D$8,Premissas!$B$9)-Q140-R140</x:f>
        <x:v>1020</x:v>
      </x:c>
      <x:c r="V140" s="21" t="n">
        <x:f>U140*F140</x:f>
        <x:v>17340</x:v>
      </x:c>
      <x:c r="W140" s="20" t="n">
        <x:f>IF(S140=0,0,U140/S140)</x:f>
        <x:v>0.3434343434343434</x:v>
      </x:c>
      <x:c r="X140" s="21" t="n">
        <x:f>IF(D140-G140&lt;=0,0,Q140/(D140-G140))</x:f>
        <x:v>0</x:v>
      </x:c>
      <x:c r="Y140" s="20" t="n">
        <x:f>IFERROR(U140/(XLOOKUP(A140,Lotes!$A$4:$A$8,Lotes!$D$4:$D$8,Premissas!$B$9)+Q140+R140),0)</x:f>
        <x:v>0.5230769230769231</x:v>
      </x:c>
      <x:c r="Z140" s="20" t="n">
        <x:f>IF(L140=0,Y140,Y140/MAX(1,L140/Premissas!$B$7))</x:f>
        <x:v>0.5230769230769231</x:v>
      </x:c>
      <x:c r="AA140" s="19" t="str">
        <x:f>IF(L140=0,"Venda imediata",IF(L140&lt;=60,"Baixo",IF(L140&lt;=120,"Médio","Alto")))</x:f>
        <x:v>Venda imediata</x:v>
      </x:c>
      <x:c r="AB140" s="19" t="str">
        <x:f>IF(U140&lt;0,"Não fazer",IF(AA140="Alto","Risco seca",IF(Z140&gt;=0.03,"Bom giro","Margem ok")))</x:f>
        <x:v>Bom giro</x:v>
      </x:c>
    </x:row>
    <x:row r="141">
      <x:c r="A141" s="19" t="str">
        <x:v>Lote maior - otimista 9@</x:v>
      </x:c>
      <x:c r="B141" s="19" t="str">
        <x:v>Agressiva</x:v>
      </x:c>
      <x:c r="C141" s="19" t="str">
        <x:v>Base</x:v>
      </x:c>
      <x:c r="D141" s="19" t="n">
        <x:v>10.5</x:v>
      </x:c>
      <x:c r="E141" s="21" t="n">
        <x:f>Premissas!$B$6</x:f>
        <x:v>330</x:v>
      </x:c>
      <x:c r="F141" s="19" t="n">
        <x:f>XLOOKUP(A141,Lotes!$A$4:$A$8,Lotes!$B$4:$B$8,0)</x:f>
        <x:v>17</x:v>
      </x:c>
      <x:c r="G141" s="23" t="n">
        <x:f>XLOOKUP(A141,Lotes!$A$4:$A$8,Lotes!$C$4:$C$8,0)</x:f>
        <x:v>9</x:v>
      </x:c>
      <x:c r="H141" s="23" t="n">
        <x:f>G141*Premissas!$B$5/Premissas!$B$4</x:f>
        <x:v>245.45454545454544</x:v>
      </x:c>
      <x:c r="I141" s="23" t="n">
        <x:f>D141*Premissas!$B$5/Premissas!$B$4</x:f>
        <x:v>286.3636363636363</x:v>
      </x:c>
      <x:c r="J141" s="23" t="n">
        <x:f>MAX(0,I141-H141)</x:f>
        <x:v>40.90909090909088</x:v>
      </x:c>
      <x:c r="K141" s="23" t="n">
        <x:f>SUMIFS('Cenários de GMD'!$C$4:$C$19,'Cenários de GMD'!$A$4:$A$19,B141,'Cenários de GMD'!$B$4:$B$19,C141)</x:f>
        <x:v>0.85</x:v>
      </x:c>
      <x:c r="L141" s="23" t="n">
        <x:f>IF(J141=0,0,J141/K141)</x:f>
        <x:v>48.128342245989266</x:v>
      </x:c>
      <x:c r="M141" s="23" t="n">
        <x:f>((H141+I141)/2)*SUMIFS('Cenários de GMD'!$D$4:$D$19,'Cenários de GMD'!$A$4:$A$19,B141,'Cenários de GMD'!$B$4:$B$19,C141)</x:f>
        <x:v>0.2659090909090909</x:v>
      </x:c>
      <x:c r="N141" s="23" t="n">
        <x:f>((H141+I141)/2)*SUMIFS('Cenários de GMD'!$E$4:$E$19,'Cenários de GMD'!$A$4:$A$19,B141,'Cenários de GMD'!$B$4:$B$19,C141)</x:f>
        <x:v>1.861363636363636</x:v>
      </x:c>
      <x:c r="O141" s="21" t="n">
        <x:f>M141*Insumos!$E$4+N141*Insumos!$E$5</x:f>
        <x:v>4.499004545454545</x:v>
      </x:c>
      <x:c r="P141" s="21" t="n">
        <x:f>O141*Premissas!$B$7</x:f>
        <x:v>134.97013636363636</x:v>
      </x:c>
      <x:c r="Q141" s="21" t="n">
        <x:f>O141*L141</x:f>
        <x:v>216.5296305298977</x:v>
      </x:c>
      <x:c r="R141" s="21" t="n">
        <x:f>Premissas!$B$7*Premissas!$B$8*L141</x:f>
        <x:v>0</x:v>
      </x:c>
      <x:c r="S141" s="21" t="n">
        <x:f>D141*E141</x:f>
        <x:v>3465</x:v>
      </x:c>
      <x:c r="T141" s="21" t="n">
        <x:f>S141*F141</x:f>
        <x:v>58905</x:v>
      </x:c>
      <x:c r="U141" s="21" t="n">
        <x:f>S141-XLOOKUP(A141,Lotes!$A$4:$A$8,Lotes!$D$4:$D$8,Premissas!$B$9)-Q141-R141</x:f>
        <x:v>1298.4703694701022</x:v>
      </x:c>
      <x:c r="V141" s="21" t="n">
        <x:f>U141*F141</x:f>
        <x:v>22073.996280991738</x:v>
      </x:c>
      <x:c r="W141" s="20" t="n">
        <x:f>IF(S141=0,0,U141/S141)</x:f>
        <x:v>0.37473892336799486</x:v>
      </x:c>
      <x:c r="X141" s="21" t="n">
        <x:f>IF(D141-G141&lt;=0,0,Q141/(D141-G141))</x:f>
        <x:v>144.3530870199318</x:v>
      </x:c>
      <x:c r="Y141" s="20" t="n">
        <x:f>IFERROR(U141/(XLOOKUP(A141,Lotes!$A$4:$A$8,Lotes!$D$4:$D$8,Premissas!$B$9)+Q141+R141),0)</x:f>
        <x:v>0.5993319228929805</x:v>
      </x:c>
      <x:c r="Z141" s="20" t="n">
        <x:f>IF(L141=0,Y141,Y141/MAX(1,L141/Premissas!$B$7))</x:f>
        <x:v>0.3735835652699582</x:v>
      </x:c>
      <x:c r="AA141" s="19" t="str">
        <x:f>IF(L141=0,"Venda imediata",IF(L141&lt;=60,"Baixo",IF(L141&lt;=120,"Médio","Alto")))</x:f>
        <x:v>Baixo</x:v>
      </x:c>
      <x:c r="AB141" s="19" t="str">
        <x:f>IF(U141&lt;0,"Não fazer",IF(AA141="Alto","Risco seca",IF(Z141&gt;=0.03,"Bom giro","Margem ok")))</x:f>
        <x:v>Bom giro</x:v>
      </x:c>
    </x:row>
    <x:row r="142">
      <x:c r="A142" s="19" t="str">
        <x:v>Lote maior - otimista 9@</x:v>
      </x:c>
      <x:c r="B142" s="19" t="str">
        <x:v>Agressiva</x:v>
      </x:c>
      <x:c r="C142" s="19" t="str">
        <x:v>Base</x:v>
      </x:c>
      <x:c r="D142" s="19" t="n">
        <x:v>11</x:v>
      </x:c>
      <x:c r="E142" s="21" t="n">
        <x:f>Premissas!$B$6</x:f>
        <x:v>330</x:v>
      </x:c>
      <x:c r="F142" s="19" t="n">
        <x:f>XLOOKUP(A142,Lotes!$A$4:$A$8,Lotes!$B$4:$B$8,0)</x:f>
        <x:v>17</x:v>
      </x:c>
      <x:c r="G142" s="23" t="n">
        <x:f>XLOOKUP(A142,Lotes!$A$4:$A$8,Lotes!$C$4:$C$8,0)</x:f>
        <x:v>9</x:v>
      </x:c>
      <x:c r="H142" s="23" t="n">
        <x:f>G142*Premissas!$B$5/Premissas!$B$4</x:f>
        <x:v>245.45454545454544</x:v>
      </x:c>
      <x:c r="I142" s="23" t="n">
        <x:f>D142*Premissas!$B$5/Premissas!$B$4</x:f>
        <x:v>300</x:v>
      </x:c>
      <x:c r="J142" s="23" t="n">
        <x:f>MAX(0,I142-H142)</x:f>
        <x:v>54.54545454545456</x:v>
      </x:c>
      <x:c r="K142" s="23" t="n">
        <x:f>SUMIFS('Cenários de GMD'!$C$4:$C$19,'Cenários de GMD'!$A$4:$A$19,B142,'Cenários de GMD'!$B$4:$B$19,C142)</x:f>
        <x:v>0.85</x:v>
      </x:c>
      <x:c r="L142" s="23" t="n">
        <x:f>IF(J142=0,0,J142/K142)</x:f>
        <x:v>64.17112299465242</x:v>
      </x:c>
      <x:c r="M142" s="23" t="n">
        <x:f>((H142+I142)/2)*SUMIFS('Cenários de GMD'!$D$4:$D$19,'Cenários de GMD'!$A$4:$A$19,B142,'Cenários de GMD'!$B$4:$B$19,C142)</x:f>
        <x:v>0.27272727272727276</x:v>
      </x:c>
      <x:c r="N142" s="23" t="n">
        <x:f>((H142+I142)/2)*SUMIFS('Cenários de GMD'!$E$4:$E$19,'Cenários de GMD'!$A$4:$A$19,B142,'Cenários de GMD'!$B$4:$B$19,C142)</x:f>
        <x:v>1.9090909090909092</x:v>
      </x:c>
      <x:c r="O142" s="21" t="n">
        <x:f>M142*Insumos!$E$4+N142*Insumos!$E$5</x:f>
        <x:v>4.6143636363636364</x:v>
      </x:c>
      <x:c r="P142" s="21" t="n">
        <x:f>O142*Premissas!$B$7</x:f>
        <x:v>138.4309090909091</x:v>
      </x:c>
      <x:c r="Q142" s="21" t="n">
        <x:f>O142*L142</x:f>
        <x:v>296.1088964511425</x:v>
      </x:c>
      <x:c r="R142" s="21" t="n">
        <x:f>Premissas!$B$7*Premissas!$B$8*L142</x:f>
        <x:v>0</x:v>
      </x:c>
      <x:c r="S142" s="21" t="n">
        <x:f>D142*E142</x:f>
        <x:v>3630</x:v>
      </x:c>
      <x:c r="T142" s="21" t="n">
        <x:f>S142*F142</x:f>
        <x:v>61710</x:v>
      </x:c>
      <x:c r="U142" s="21" t="n">
        <x:f>S142-XLOOKUP(A142,Lotes!$A$4:$A$8,Lotes!$D$4:$D$8,Premissas!$B$9)-Q142-R142</x:f>
        <x:v>1383.8911035488575</x:v>
      </x:c>
      <x:c r="V142" s="21" t="n">
        <x:f>U142*F142</x:f>
        <x:v>23526.148760330576</x:v>
      </x:c>
      <x:c r="W142" s="20" t="n">
        <x:f>IF(S142=0,0,U142/S142)</x:f>
        <x:v>0.3812372186085007</x:v>
      </x:c>
      <x:c r="X142" s="21" t="n">
        <x:f>IF(D142-G142&lt;=0,0,Q142/(D142-G142))</x:f>
        <x:v>148.05444822557126</x:v>
      </x:c>
      <x:c r="Y142" s="20" t="n">
        <x:f>IFERROR(U142/(XLOOKUP(A142,Lotes!$A$4:$A$8,Lotes!$D$4:$D$8,Premissas!$B$9)+Q142+R142),0)</x:f>
        <x:v>0.6161282321330941</x:v>
      </x:c>
      <x:c r="Z142" s="20" t="n">
        <x:f>IF(L142=0,Y142,Y142/MAX(1,L142/Premissas!$B$7))</x:f>
        <x:v>0.2880399485222214</x:v>
      </x:c>
      <x:c r="AA142" s="19" t="str">
        <x:f>IF(L142=0,"Venda imediata",IF(L142&lt;=60,"Baixo",IF(L142&lt;=120,"Médio","Alto")))</x:f>
        <x:v>Médio</x:v>
      </x:c>
      <x:c r="AB142" s="19" t="str">
        <x:f>IF(U142&lt;0,"Não fazer",IF(AA142="Alto","Risco seca",IF(Z142&gt;=0.03,"Bom giro","Margem ok")))</x:f>
        <x:v>Bom giro</x:v>
      </x:c>
    </x:row>
    <x:row r="143">
      <x:c r="A143" s="19" t="str">
        <x:v>Lote maior - otimista 9@</x:v>
      </x:c>
      <x:c r="B143" s="19" t="str">
        <x:v>Agressiva</x:v>
      </x:c>
      <x:c r="C143" s="19" t="str">
        <x:v>Base</x:v>
      </x:c>
      <x:c r="D143" s="19" t="n">
        <x:v>12</x:v>
      </x:c>
      <x:c r="E143" s="21" t="n">
        <x:f>Premissas!$B$6</x:f>
        <x:v>330</x:v>
      </x:c>
      <x:c r="F143" s="19" t="n">
        <x:f>XLOOKUP(A143,Lotes!$A$4:$A$8,Lotes!$B$4:$B$8,0)</x:f>
        <x:v>17</x:v>
      </x:c>
      <x:c r="G143" s="23" t="n">
        <x:f>XLOOKUP(A143,Lotes!$A$4:$A$8,Lotes!$C$4:$C$8,0)</x:f>
        <x:v>9</x:v>
      </x:c>
      <x:c r="H143" s="23" t="n">
        <x:f>G143*Premissas!$B$5/Premissas!$B$4</x:f>
        <x:v>245.45454545454544</x:v>
      </x:c>
      <x:c r="I143" s="23" t="n">
        <x:f>D143*Premissas!$B$5/Premissas!$B$4</x:f>
        <x:v>327.27272727272725</x:v>
      </x:c>
      <x:c r="J143" s="23" t="n">
        <x:f>MAX(0,I143-H143)</x:f>
        <x:v>81.81818181818181</x:v>
      </x:c>
      <x:c r="K143" s="23" t="n">
        <x:f>SUMIFS('Cenários de GMD'!$C$4:$C$19,'Cenários de GMD'!$A$4:$A$19,B143,'Cenários de GMD'!$B$4:$B$19,C143)</x:f>
        <x:v>0.85</x:v>
      </x:c>
      <x:c r="L143" s="23" t="n">
        <x:f>IF(J143=0,0,J143/K143)</x:f>
        <x:v>96.2566844919786</x:v>
      </x:c>
      <x:c r="M143" s="23" t="n">
        <x:f>((H143+I143)/2)*SUMIFS('Cenários de GMD'!$D$4:$D$19,'Cenários de GMD'!$A$4:$A$19,B143,'Cenários de GMD'!$B$4:$B$19,C143)</x:f>
        <x:v>0.2863636363636364</x:v>
      </x:c>
      <x:c r="N143" s="23" t="n">
        <x:f>((H143+I143)/2)*SUMIFS('Cenários de GMD'!$E$4:$E$19,'Cenários de GMD'!$A$4:$A$19,B143,'Cenários de GMD'!$B$4:$B$19,C143)</x:f>
        <x:v>2.004545454545455</x:v>
      </x:c>
      <x:c r="O143" s="21" t="n">
        <x:f>M143*Insumos!$E$4+N143*Insumos!$E$5</x:f>
        <x:v>4.845081818181819</x:v>
      </x:c>
      <x:c r="P143" s="21" t="n">
        <x:f>O143*Premissas!$B$7</x:f>
        <x:v>145.35245454545455</x:v>
      </x:c>
      <x:c r="Q143" s="21" t="n">
        <x:f>O143*L143</x:f>
        <x:v>466.3715119105494</x:v>
      </x:c>
      <x:c r="R143" s="21" t="n">
        <x:f>Premissas!$B$7*Premissas!$B$8*L143</x:f>
        <x:v>0</x:v>
      </x:c>
      <x:c r="S143" s="21" t="n">
        <x:f>D143*E143</x:f>
        <x:v>3960</x:v>
      </x:c>
      <x:c r="T143" s="21" t="n">
        <x:f>S143*F143</x:f>
        <x:v>67320</x:v>
      </x:c>
      <x:c r="U143" s="21" t="n">
        <x:f>S143-XLOOKUP(A143,Lotes!$A$4:$A$8,Lotes!$D$4:$D$8,Premissas!$B$9)-Q143-R143</x:f>
        <x:v>1543.6284880894507</x:v>
      </x:c>
      <x:c r="V143" s="21" t="n">
        <x:f>U143*F143</x:f>
        <x:v>26241.68429752066</x:v>
      </x:c>
      <x:c r="W143" s="20" t="n">
        <x:f>IF(S143=0,0,U143/S143)</x:f>
        <x:v>0.3898051737599623</x:v>
      </x:c>
      <x:c r="X143" s="21" t="n">
        <x:f>IF(D143-G143&lt;=0,0,Q143/(D143-G143))</x:f>
        <x:v>155.45717063684978</x:v>
      </x:c>
      <x:c r="Y143" s="20" t="n">
        <x:f>IFERROR(U143/(XLOOKUP(A143,Lotes!$A$4:$A$8,Lotes!$D$4:$D$8,Premissas!$B$9)+Q143+R143),0)</x:f>
        <x:v>0.6388208437654324</x:v>
      </x:c>
      <x:c r="Z143" s="20" t="n">
        <x:f>IF(L143=0,Y143,Y143/MAX(1,L143/Premissas!$B$7))</x:f>
        <x:v>0.19909916297355976</x:v>
      </x:c>
      <x:c r="AA143" s="19" t="str">
        <x:f>IF(L143=0,"Venda imediata",IF(L143&lt;=60,"Baixo",IF(L143&lt;=120,"Médio","Alto")))</x:f>
        <x:v>Médio</x:v>
      </x:c>
      <x:c r="AB143" s="19" t="str">
        <x:f>IF(U143&lt;0,"Não fazer",IF(AA143="Alto","Risco seca",IF(Z143&gt;=0.03,"Bom giro","Margem ok")))</x:f>
        <x:v>Bom giro</x:v>
      </x:c>
    </x:row>
    <x:row r="144">
      <x:c r="A144" s="19" t="str">
        <x:v>Lote maior - otimista 9@</x:v>
      </x:c>
      <x:c r="B144" s="19" t="str">
        <x:v>Agressiva</x:v>
      </x:c>
      <x:c r="C144" s="19" t="str">
        <x:v>Bom</x:v>
      </x:c>
      <x:c r="D144" s="19" t="n">
        <x:v>8.5</x:v>
      </x:c>
      <x:c r="E144" s="21" t="n">
        <x:f>Premissas!$B$6</x:f>
        <x:v>330</x:v>
      </x:c>
      <x:c r="F144" s="19" t="n">
        <x:f>XLOOKUP(A144,Lotes!$A$4:$A$8,Lotes!$B$4:$B$8,0)</x:f>
        <x:v>17</x:v>
      </x:c>
      <x:c r="G144" s="23" t="n">
        <x:f>XLOOKUP(A144,Lotes!$A$4:$A$8,Lotes!$C$4:$C$8,0)</x:f>
        <x:v>9</x:v>
      </x:c>
      <x:c r="H144" s="23" t="n">
        <x:f>G144*Premissas!$B$5/Premissas!$B$4</x:f>
        <x:v>245.45454545454544</x:v>
      </x:c>
      <x:c r="I144" s="23" t="n">
        <x:f>D144*Premissas!$B$5/Premissas!$B$4</x:f>
        <x:v>231.8181818181818</x:v>
      </x:c>
      <x:c r="J144" s="23" t="n">
        <x:f>MAX(0,I144-H144)</x:f>
        <x:v>0</x:v>
      </x:c>
      <x:c r="K144" s="23" t="n">
        <x:f>SUMIFS('Cenários de GMD'!$C$4:$C$19,'Cenários de GMD'!$A$4:$A$19,B144,'Cenários de GMD'!$B$4:$B$19,C144)</x:f>
        <x:v>1</x:v>
      </x:c>
      <x:c r="L144" s="23" t="n">
        <x:f>IF(J144=0,0,J144/K144)</x:f>
        <x:v>0</x:v>
      </x:c>
      <x:c r="M144" s="23" t="n">
        <x:f>((H144+I144)/2)*SUMIFS('Cenários de GMD'!$D$4:$D$19,'Cenários de GMD'!$A$4:$A$19,B144,'Cenários de GMD'!$B$4:$B$19,C144)</x:f>
        <x:v>0.23863636363636362</x:v>
      </x:c>
      <x:c r="N144" s="23" t="n">
        <x:f>((H144+I144)/2)*SUMIFS('Cenários de GMD'!$E$4:$E$19,'Cenários de GMD'!$A$4:$A$19,B144,'Cenários de GMD'!$B$4:$B$19,C144)</x:f>
        <x:v>1.6704545454545454</x:v>
      </x:c>
      <x:c r="O144" s="21" t="n">
        <x:f>M144*Insumos!$E$4+N144*Insumos!$E$5</x:f>
        <x:v>4.037568181818182</x:v>
      </x:c>
      <x:c r="P144" s="21" t="n">
        <x:f>O144*Premissas!$B$7</x:f>
        <x:v>121.12704545454547</x:v>
      </x:c>
      <x:c r="Q144" s="21" t="n">
        <x:f>O144*L144</x:f>
        <x:v>0</x:v>
      </x:c>
      <x:c r="R144" s="21" t="n">
        <x:f>Premissas!$B$7*Premissas!$B$8*L144</x:f>
        <x:v>0</x:v>
      </x:c>
      <x:c r="S144" s="21" t="n">
        <x:f>D144*E144</x:f>
        <x:v>2805</x:v>
      </x:c>
      <x:c r="T144" s="21" t="n">
        <x:f>S144*F144</x:f>
        <x:v>47685</x:v>
      </x:c>
      <x:c r="U144" s="21" t="n">
        <x:f>S144-XLOOKUP(A144,Lotes!$A$4:$A$8,Lotes!$D$4:$D$8,Premissas!$B$9)-Q144-R144</x:f>
        <x:v>855</x:v>
      </x:c>
      <x:c r="V144" s="21" t="n">
        <x:f>U144*F144</x:f>
        <x:v>14535</x:v>
      </x:c>
      <x:c r="W144" s="20" t="n">
        <x:f>IF(S144=0,0,U144/S144)</x:f>
        <x:v>0.3048128342245989</x:v>
      </x:c>
      <x:c r="X144" s="21" t="n">
        <x:f>IF(D144-G144&lt;=0,0,Q144/(D144-G144))</x:f>
        <x:v>0</x:v>
      </x:c>
      <x:c r="Y144" s="20" t="n">
        <x:f>IFERROR(U144/(XLOOKUP(A144,Lotes!$A$4:$A$8,Lotes!$D$4:$D$8,Premissas!$B$9)+Q144+R144),0)</x:f>
        <x:v>0.43846153846153846</x:v>
      </x:c>
      <x:c r="Z144" s="20" t="n">
        <x:f>IF(L144=0,Y144,Y144/MAX(1,L144/Premissas!$B$7))</x:f>
        <x:v>0.43846153846153846</x:v>
      </x:c>
      <x:c r="AA144" s="19" t="str">
        <x:f>IF(L144=0,"Venda imediata",IF(L144&lt;=60,"Baixo",IF(L144&lt;=120,"Médio","Alto")))</x:f>
        <x:v>Venda imediata</x:v>
      </x:c>
      <x:c r="AB144" s="19" t="str">
        <x:f>IF(U144&lt;0,"Não fazer",IF(AA144="Alto","Risco seca",IF(Z144&gt;=0.03,"Bom giro","Margem ok")))</x:f>
        <x:v>Bom giro</x:v>
      </x:c>
    </x:row>
    <x:row r="145">
      <x:c r="A145" s="19" t="str">
        <x:v>Lote maior - otimista 9@</x:v>
      </x:c>
      <x:c r="B145" s="19" t="str">
        <x:v>Agressiva</x:v>
      </x:c>
      <x:c r="C145" s="19" t="str">
        <x:v>Bom</x:v>
      </x:c>
      <x:c r="D145" s="19" t="n">
        <x:v>9</x:v>
      </x:c>
      <x:c r="E145" s="21" t="n">
        <x:f>Premissas!$B$6</x:f>
        <x:v>330</x:v>
      </x:c>
      <x:c r="F145" s="19" t="n">
        <x:f>XLOOKUP(A145,Lotes!$A$4:$A$8,Lotes!$B$4:$B$8,0)</x:f>
        <x:v>17</x:v>
      </x:c>
      <x:c r="G145" s="23" t="n">
        <x:f>XLOOKUP(A145,Lotes!$A$4:$A$8,Lotes!$C$4:$C$8,0)</x:f>
        <x:v>9</x:v>
      </x:c>
      <x:c r="H145" s="23" t="n">
        <x:f>G145*Premissas!$B$5/Premissas!$B$4</x:f>
        <x:v>245.45454545454544</x:v>
      </x:c>
      <x:c r="I145" s="23" t="n">
        <x:f>D145*Premissas!$B$5/Premissas!$B$4</x:f>
        <x:v>245.45454545454544</x:v>
      </x:c>
      <x:c r="J145" s="23" t="n">
        <x:f>MAX(0,I145-H145)</x:f>
        <x:v>0</x:v>
      </x:c>
      <x:c r="K145" s="23" t="n">
        <x:f>SUMIFS('Cenários de GMD'!$C$4:$C$19,'Cenários de GMD'!$A$4:$A$19,B145,'Cenários de GMD'!$B$4:$B$19,C145)</x:f>
        <x:v>1</x:v>
      </x:c>
      <x:c r="L145" s="23" t="n">
        <x:f>IF(J145=0,0,J145/K145)</x:f>
        <x:v>0</x:v>
      </x:c>
      <x:c r="M145" s="23" t="n">
        <x:f>((H145+I145)/2)*SUMIFS('Cenários de GMD'!$D$4:$D$19,'Cenários de GMD'!$A$4:$A$19,B145,'Cenários de GMD'!$B$4:$B$19,C145)</x:f>
        <x:v>0.24545454545454545</x:v>
      </x:c>
      <x:c r="N145" s="23" t="n">
        <x:f>((H145+I145)/2)*SUMIFS('Cenários de GMD'!$E$4:$E$19,'Cenários de GMD'!$A$4:$A$19,B145,'Cenários de GMD'!$B$4:$B$19,C145)</x:f>
        <x:v>1.718181818181818</x:v>
      </x:c>
      <x:c r="O145" s="21" t="n">
        <x:f>M145*Insumos!$E$4+N145*Insumos!$E$5</x:f>
        <x:v>4.152927272727273</x:v>
      </x:c>
      <x:c r="P145" s="21" t="n">
        <x:f>O145*Premissas!$B$7</x:f>
        <x:v>124.58781818181818</x:v>
      </x:c>
      <x:c r="Q145" s="21" t="n">
        <x:f>O145*L145</x:f>
        <x:v>0</x:v>
      </x:c>
      <x:c r="R145" s="21" t="n">
        <x:f>Premissas!$B$7*Premissas!$B$8*L145</x:f>
        <x:v>0</x:v>
      </x:c>
      <x:c r="S145" s="21" t="n">
        <x:f>D145*E145</x:f>
        <x:v>2970</x:v>
      </x:c>
      <x:c r="T145" s="21" t="n">
        <x:f>S145*F145</x:f>
        <x:v>50490</x:v>
      </x:c>
      <x:c r="U145" s="21" t="n">
        <x:f>S145-XLOOKUP(A145,Lotes!$A$4:$A$8,Lotes!$D$4:$D$8,Premissas!$B$9)-Q145-R145</x:f>
        <x:v>1020</x:v>
      </x:c>
      <x:c r="V145" s="21" t="n">
        <x:f>U145*F145</x:f>
        <x:v>17340</x:v>
      </x:c>
      <x:c r="W145" s="20" t="n">
        <x:f>IF(S145=0,0,U145/S145)</x:f>
        <x:v>0.3434343434343434</x:v>
      </x:c>
      <x:c r="X145" s="21" t="n">
        <x:f>IF(D145-G145&lt;=0,0,Q145/(D145-G145))</x:f>
        <x:v>0</x:v>
      </x:c>
      <x:c r="Y145" s="20" t="n">
        <x:f>IFERROR(U145/(XLOOKUP(A145,Lotes!$A$4:$A$8,Lotes!$D$4:$D$8,Premissas!$B$9)+Q145+R145),0)</x:f>
        <x:v>0.5230769230769231</x:v>
      </x:c>
      <x:c r="Z145" s="20" t="n">
        <x:f>IF(L145=0,Y145,Y145/MAX(1,L145/Premissas!$B$7))</x:f>
        <x:v>0.5230769230769231</x:v>
      </x:c>
      <x:c r="AA145" s="19" t="str">
        <x:f>IF(L145=0,"Venda imediata",IF(L145&lt;=60,"Baixo",IF(L145&lt;=120,"Médio","Alto")))</x:f>
        <x:v>Venda imediata</x:v>
      </x:c>
      <x:c r="AB145" s="19" t="str">
        <x:f>IF(U145&lt;0,"Não fazer",IF(AA145="Alto","Risco seca",IF(Z145&gt;=0.03,"Bom giro","Margem ok")))</x:f>
        <x:v>Bom giro</x:v>
      </x:c>
    </x:row>
    <x:row r="146">
      <x:c r="A146" s="19" t="str">
        <x:v>Lote maior - otimista 9@</x:v>
      </x:c>
      <x:c r="B146" s="19" t="str">
        <x:v>Agressiva</x:v>
      </x:c>
      <x:c r="C146" s="19" t="str">
        <x:v>Bom</x:v>
      </x:c>
      <x:c r="D146" s="19" t="n">
        <x:v>10.5</x:v>
      </x:c>
      <x:c r="E146" s="21" t="n">
        <x:f>Premissas!$B$6</x:f>
        <x:v>330</x:v>
      </x:c>
      <x:c r="F146" s="19" t="n">
        <x:f>XLOOKUP(A146,Lotes!$A$4:$A$8,Lotes!$B$4:$B$8,0)</x:f>
        <x:v>17</x:v>
      </x:c>
      <x:c r="G146" s="23" t="n">
        <x:f>XLOOKUP(A146,Lotes!$A$4:$A$8,Lotes!$C$4:$C$8,0)</x:f>
        <x:v>9</x:v>
      </x:c>
      <x:c r="H146" s="23" t="n">
        <x:f>G146*Premissas!$B$5/Premissas!$B$4</x:f>
        <x:v>245.45454545454544</x:v>
      </x:c>
      <x:c r="I146" s="23" t="n">
        <x:f>D146*Premissas!$B$5/Premissas!$B$4</x:f>
        <x:v>286.3636363636363</x:v>
      </x:c>
      <x:c r="J146" s="23" t="n">
        <x:f>MAX(0,I146-H146)</x:f>
        <x:v>40.90909090909088</x:v>
      </x:c>
      <x:c r="K146" s="23" t="n">
        <x:f>SUMIFS('Cenários de GMD'!$C$4:$C$19,'Cenários de GMD'!$A$4:$A$19,B146,'Cenários de GMD'!$B$4:$B$19,C146)</x:f>
        <x:v>1</x:v>
      </x:c>
      <x:c r="L146" s="23" t="n">
        <x:f>IF(J146=0,0,J146/K146)</x:f>
        <x:v>40.90909090909088</x:v>
      </x:c>
      <x:c r="M146" s="23" t="n">
        <x:f>((H146+I146)/2)*SUMIFS('Cenários de GMD'!$D$4:$D$19,'Cenários de GMD'!$A$4:$A$19,B146,'Cenários de GMD'!$B$4:$B$19,C146)</x:f>
        <x:v>0.2659090909090909</x:v>
      </x:c>
      <x:c r="N146" s="23" t="n">
        <x:f>((H146+I146)/2)*SUMIFS('Cenários de GMD'!$E$4:$E$19,'Cenários de GMD'!$A$4:$A$19,B146,'Cenários de GMD'!$B$4:$B$19,C146)</x:f>
        <x:v>1.861363636363636</x:v>
      </x:c>
      <x:c r="O146" s="21" t="n">
        <x:f>M146*Insumos!$E$4+N146*Insumos!$E$5</x:f>
        <x:v>4.499004545454545</x:v>
      </x:c>
      <x:c r="P146" s="21" t="n">
        <x:f>O146*Premissas!$B$7</x:f>
        <x:v>134.97013636363636</x:v>
      </x:c>
      <x:c r="Q146" s="21" t="n">
        <x:f>O146*L146</x:f>
        <x:v>184.05018595041307</x:v>
      </x:c>
      <x:c r="R146" s="21" t="n">
        <x:f>Premissas!$B$7*Premissas!$B$8*L146</x:f>
        <x:v>0</x:v>
      </x:c>
      <x:c r="S146" s="21" t="n">
        <x:f>D146*E146</x:f>
        <x:v>3465</x:v>
      </x:c>
      <x:c r="T146" s="21" t="n">
        <x:f>S146*F146</x:f>
        <x:v>58905</x:v>
      </x:c>
      <x:c r="U146" s="21" t="n">
        <x:f>S146-XLOOKUP(A146,Lotes!$A$4:$A$8,Lotes!$D$4:$D$8,Premissas!$B$9)-Q146-R146</x:f>
        <x:v>1330.9498140495868</x:v>
      </x:c>
      <x:c r="V146" s="21" t="n">
        <x:f>U146*F146</x:f>
        <x:v>22626.146838842975</x:v>
      </x:c>
      <x:c r="W146" s="20" t="n">
        <x:f>IF(S146=0,0,U146/S146)</x:f>
        <x:v>0.38411250044721124</x:v>
      </x:c>
      <x:c r="X146" s="21" t="n">
        <x:f>IF(D146-G146&lt;=0,0,Q146/(D146-G146))</x:f>
        <x:v>122.70012396694204</x:v>
      </x:c>
      <x:c r="Y146" s="20" t="n">
        <x:f>IFERROR(U146/(XLOOKUP(A146,Lotes!$A$4:$A$8,Lotes!$D$4:$D$8,Premissas!$B$9)+Q146+R146),0)</x:f>
        <x:v>0.6236731557729697</x:v>
      </x:c>
      <x:c r="Z146" s="20" t="n">
        <x:f>IF(L146=0,Y146,Y146/MAX(1,L146/Premissas!$B$7))</x:f>
        <x:v>0.4573603142335114</x:v>
      </x:c>
      <x:c r="AA146" s="19" t="str">
        <x:f>IF(L146=0,"Venda imediata",IF(L146&lt;=60,"Baixo",IF(L146&lt;=120,"Médio","Alto")))</x:f>
        <x:v>Baixo</x:v>
      </x:c>
      <x:c r="AB146" s="19" t="str">
        <x:f>IF(U146&lt;0,"Não fazer",IF(AA146="Alto","Risco seca",IF(Z146&gt;=0.03,"Bom giro","Margem ok")))</x:f>
        <x:v>Bom giro</x:v>
      </x:c>
    </x:row>
    <x:row r="147">
      <x:c r="A147" s="19" t="str">
        <x:v>Lote maior - otimista 9@</x:v>
      </x:c>
      <x:c r="B147" s="19" t="str">
        <x:v>Agressiva</x:v>
      </x:c>
      <x:c r="C147" s="19" t="str">
        <x:v>Bom</x:v>
      </x:c>
      <x:c r="D147" s="19" t="n">
        <x:v>11</x:v>
      </x:c>
      <x:c r="E147" s="21" t="n">
        <x:f>Premissas!$B$6</x:f>
        <x:v>330</x:v>
      </x:c>
      <x:c r="F147" s="19" t="n">
        <x:f>XLOOKUP(A147,Lotes!$A$4:$A$8,Lotes!$B$4:$B$8,0)</x:f>
        <x:v>17</x:v>
      </x:c>
      <x:c r="G147" s="23" t="n">
        <x:f>XLOOKUP(A147,Lotes!$A$4:$A$8,Lotes!$C$4:$C$8,0)</x:f>
        <x:v>9</x:v>
      </x:c>
      <x:c r="H147" s="23" t="n">
        <x:f>G147*Premissas!$B$5/Premissas!$B$4</x:f>
        <x:v>245.45454545454544</x:v>
      </x:c>
      <x:c r="I147" s="23" t="n">
        <x:f>D147*Premissas!$B$5/Premissas!$B$4</x:f>
        <x:v>300</x:v>
      </x:c>
      <x:c r="J147" s="23" t="n">
        <x:f>MAX(0,I147-H147)</x:f>
        <x:v>54.54545454545456</x:v>
      </x:c>
      <x:c r="K147" s="23" t="n">
        <x:f>SUMIFS('Cenários de GMD'!$C$4:$C$19,'Cenários de GMD'!$A$4:$A$19,B147,'Cenários de GMD'!$B$4:$B$19,C147)</x:f>
        <x:v>1</x:v>
      </x:c>
      <x:c r="L147" s="23" t="n">
        <x:f>IF(J147=0,0,J147/K147)</x:f>
        <x:v>54.54545454545456</x:v>
      </x:c>
      <x:c r="M147" s="23" t="n">
        <x:f>((H147+I147)/2)*SUMIFS('Cenários de GMD'!$D$4:$D$19,'Cenários de GMD'!$A$4:$A$19,B147,'Cenários de GMD'!$B$4:$B$19,C147)</x:f>
        <x:v>0.27272727272727276</x:v>
      </x:c>
      <x:c r="N147" s="23" t="n">
        <x:f>((H147+I147)/2)*SUMIFS('Cenários de GMD'!$E$4:$E$19,'Cenários de GMD'!$A$4:$A$19,B147,'Cenários de GMD'!$B$4:$B$19,C147)</x:f>
        <x:v>1.9090909090909092</x:v>
      </x:c>
      <x:c r="O147" s="21" t="n">
        <x:f>M147*Insumos!$E$4+N147*Insumos!$E$5</x:f>
        <x:v>4.6143636363636364</x:v>
      </x:c>
      <x:c r="P147" s="21" t="n">
        <x:f>O147*Premissas!$B$7</x:f>
        <x:v>138.4309090909091</x:v>
      </x:c>
      <x:c r="Q147" s="21" t="n">
        <x:f>O147*L147</x:f>
        <x:v>251.69256198347114</x:v>
      </x:c>
      <x:c r="R147" s="21" t="n">
        <x:f>Premissas!$B$7*Premissas!$B$8*L147</x:f>
        <x:v>0</x:v>
      </x:c>
      <x:c r="S147" s="21" t="n">
        <x:f>D147*E147</x:f>
        <x:v>3630</x:v>
      </x:c>
      <x:c r="T147" s="21" t="n">
        <x:f>S147*F147</x:f>
        <x:v>61710</x:v>
      </x:c>
      <x:c r="U147" s="21" t="n">
        <x:f>S147-XLOOKUP(A147,Lotes!$A$4:$A$8,Lotes!$D$4:$D$8,Premissas!$B$9)-Q147-R147</x:f>
        <x:v>1428.307438016529</x:v>
      </x:c>
      <x:c r="V147" s="21" t="n">
        <x:f>U147*F147</x:f>
        <x:v>24281.22644628099</x:v>
      </x:c>
      <x:c r="W147" s="20" t="n">
        <x:f>IF(S147=0,0,U147/S147)</x:f>
        <x:v>0.3934731234205314</x:v>
      </x:c>
      <x:c r="X147" s="21" t="n">
        <x:f>IF(D147-G147&lt;=0,0,Q147/(D147-G147))</x:f>
        <x:v>125.84628099173557</x:v>
      </x:c>
      <x:c r="Y147" s="20" t="n">
        <x:f>IFERROR(U147/(XLOOKUP(A147,Lotes!$A$4:$A$8,Lotes!$D$4:$D$8,Premissas!$B$9)+Q147+R147),0)</x:f>
        <x:v>0.6487315543864075</x:v>
      </x:c>
      <x:c r="Z147" s="20" t="n">
        <x:f>IF(L147=0,Y147,Y147/MAX(1,L147/Premissas!$B$7))</x:f>
        <x:v>0.356802354912524</x:v>
      </x:c>
      <x:c r="AA147" s="19" t="str">
        <x:f>IF(L147=0,"Venda imediata",IF(L147&lt;=60,"Baixo",IF(L147&lt;=120,"Médio","Alto")))</x:f>
        <x:v>Baixo</x:v>
      </x:c>
      <x:c r="AB147" s="19" t="str">
        <x:f>IF(U147&lt;0,"Não fazer",IF(AA147="Alto","Risco seca",IF(Z147&gt;=0.03,"Bom giro","Margem ok")))</x:f>
        <x:v>Bom giro</x:v>
      </x:c>
    </x:row>
    <x:row r="148">
      <x:c r="A148" s="19" t="str">
        <x:v>Lote maior - otimista 9@</x:v>
      </x:c>
      <x:c r="B148" s="19" t="str">
        <x:v>Agressiva</x:v>
      </x:c>
      <x:c r="C148" s="19" t="str">
        <x:v>Bom</x:v>
      </x:c>
      <x:c r="D148" s="19" t="n">
        <x:v>12</x:v>
      </x:c>
      <x:c r="E148" s="21" t="n">
        <x:f>Premissas!$B$6</x:f>
        <x:v>330</x:v>
      </x:c>
      <x:c r="F148" s="19" t="n">
        <x:f>XLOOKUP(A148,Lotes!$A$4:$A$8,Lotes!$B$4:$B$8,0)</x:f>
        <x:v>17</x:v>
      </x:c>
      <x:c r="G148" s="23" t="n">
        <x:f>XLOOKUP(A148,Lotes!$A$4:$A$8,Lotes!$C$4:$C$8,0)</x:f>
        <x:v>9</x:v>
      </x:c>
      <x:c r="H148" s="23" t="n">
        <x:f>G148*Premissas!$B$5/Premissas!$B$4</x:f>
        <x:v>245.45454545454544</x:v>
      </x:c>
      <x:c r="I148" s="23" t="n">
        <x:f>D148*Premissas!$B$5/Premissas!$B$4</x:f>
        <x:v>327.27272727272725</x:v>
      </x:c>
      <x:c r="J148" s="23" t="n">
        <x:f>MAX(0,I148-H148)</x:f>
        <x:v>81.81818181818181</x:v>
      </x:c>
      <x:c r="K148" s="23" t="n">
        <x:f>SUMIFS('Cenários de GMD'!$C$4:$C$19,'Cenários de GMD'!$A$4:$A$19,B148,'Cenários de GMD'!$B$4:$B$19,C148)</x:f>
        <x:v>1</x:v>
      </x:c>
      <x:c r="L148" s="23" t="n">
        <x:f>IF(J148=0,0,J148/K148)</x:f>
        <x:v>81.81818181818181</x:v>
      </x:c>
      <x:c r="M148" s="23" t="n">
        <x:f>((H148+I148)/2)*SUMIFS('Cenários de GMD'!$D$4:$D$19,'Cenários de GMD'!$A$4:$A$19,B148,'Cenários de GMD'!$B$4:$B$19,C148)</x:f>
        <x:v>0.2863636363636364</x:v>
      </x:c>
      <x:c r="N148" s="23" t="n">
        <x:f>((H148+I148)/2)*SUMIFS('Cenários de GMD'!$E$4:$E$19,'Cenários de GMD'!$A$4:$A$19,B148,'Cenários de GMD'!$B$4:$B$19,C148)</x:f>
        <x:v>2.004545454545455</x:v>
      </x:c>
      <x:c r="O148" s="21" t="n">
        <x:f>M148*Insumos!$E$4+N148*Insumos!$E$5</x:f>
        <x:v>4.845081818181819</x:v>
      </x:c>
      <x:c r="P148" s="21" t="n">
        <x:f>O148*Premissas!$B$7</x:f>
        <x:v>145.35245454545455</x:v>
      </x:c>
      <x:c r="Q148" s="21" t="n">
        <x:f>O148*L148</x:f>
        <x:v>396.41578512396694</x:v>
      </x:c>
      <x:c r="R148" s="21" t="n">
        <x:f>Premissas!$B$7*Premissas!$B$8*L148</x:f>
        <x:v>0</x:v>
      </x:c>
      <x:c r="S148" s="21" t="n">
        <x:f>D148*E148</x:f>
        <x:v>3960</x:v>
      </x:c>
      <x:c r="T148" s="21" t="n">
        <x:f>S148*F148</x:f>
        <x:v>67320</x:v>
      </x:c>
      <x:c r="U148" s="21" t="n">
        <x:f>S148-XLOOKUP(A148,Lotes!$A$4:$A$8,Lotes!$D$4:$D$8,Premissas!$B$9)-Q148-R148</x:f>
        <x:v>1613.584214876033</x:v>
      </x:c>
      <x:c r="V148" s="21" t="n">
        <x:f>U148*F148</x:f>
        <x:v>27430.931652892563</x:v>
      </x:c>
      <x:c r="W148" s="20" t="n">
        <x:f>IF(S148=0,0,U148/S148)</x:f>
        <x:v>0.40747076133233157</x:v>
      </x:c>
      <x:c r="X148" s="21" t="n">
        <x:f>IF(D148-G148&lt;=0,0,Q148/(D148-G148))</x:f>
        <x:v>132.1385950413223</x:v>
      </x:c>
      <x:c r="Y148" s="20" t="n">
        <x:f>IFERROR(U148/(XLOOKUP(A148,Lotes!$A$4:$A$8,Lotes!$D$4:$D$8,Premissas!$B$9)+Q148+R148),0)</x:f>
        <x:v>0.6876804294899437</x:v>
      </x:c>
      <x:c r="Z148" s="20" t="n">
        <x:f>IF(L148=0,Y148,Y148/MAX(1,L148/Premissas!$B$7))</x:f>
        <x:v>0.2521494908129794</x:v>
      </x:c>
      <x:c r="AA148" s="19" t="str">
        <x:f>IF(L148=0,"Venda imediata",IF(L148&lt;=60,"Baixo",IF(L148&lt;=120,"Médio","Alto")))</x:f>
        <x:v>Médio</x:v>
      </x:c>
      <x:c r="AB148" s="19" t="str">
        <x:f>IF(U148&lt;0,"Não fazer",IF(AA148="Alto","Risco seca",IF(Z148&gt;=0.03,"Bom giro","Margem ok")))</x:f>
        <x:v>Bom giro</x:v>
      </x:c>
    </x:row>
    <x:row r="149">
      <x:c r="A149" s="19" t="str">
        <x:v>Lote maior - otimista 9@</x:v>
      </x:c>
      <x:c r="B149" s="19" t="str">
        <x:v>Agressiva</x:v>
      </x:c>
      <x:c r="C149" s="19" t="str">
        <x:v>Ótimo</x:v>
      </x:c>
      <x:c r="D149" s="19" t="n">
        <x:v>8.5</x:v>
      </x:c>
      <x:c r="E149" s="21" t="n">
        <x:f>Premissas!$B$6</x:f>
        <x:v>330</x:v>
      </x:c>
      <x:c r="F149" s="19" t="n">
        <x:f>XLOOKUP(A149,Lotes!$A$4:$A$8,Lotes!$B$4:$B$8,0)</x:f>
        <x:v>17</x:v>
      </x:c>
      <x:c r="G149" s="23" t="n">
        <x:f>XLOOKUP(A149,Lotes!$A$4:$A$8,Lotes!$C$4:$C$8,0)</x:f>
        <x:v>9</x:v>
      </x:c>
      <x:c r="H149" s="23" t="n">
        <x:f>G149*Premissas!$B$5/Premissas!$B$4</x:f>
        <x:v>245.45454545454544</x:v>
      </x:c>
      <x:c r="I149" s="23" t="n">
        <x:f>D149*Premissas!$B$5/Premissas!$B$4</x:f>
        <x:v>231.8181818181818</x:v>
      </x:c>
      <x:c r="J149" s="23" t="n">
        <x:f>MAX(0,I149-H149)</x:f>
        <x:v>0</x:v>
      </x:c>
      <x:c r="K149" s="23" t="n">
        <x:f>SUMIFS('Cenários de GMD'!$C$4:$C$19,'Cenários de GMD'!$A$4:$A$19,B149,'Cenários de GMD'!$B$4:$B$19,C149)</x:f>
        <x:v>1.1</x:v>
      </x:c>
      <x:c r="L149" s="23" t="n">
        <x:f>IF(J149=0,0,J149/K149)</x:f>
        <x:v>0</x:v>
      </x:c>
      <x:c r="M149" s="23" t="n">
        <x:f>((H149+I149)/2)*SUMIFS('Cenários de GMD'!$D$4:$D$19,'Cenários de GMD'!$A$4:$A$19,B149,'Cenários de GMD'!$B$4:$B$19,C149)</x:f>
        <x:v>0.23863636363636362</x:v>
      </x:c>
      <x:c r="N149" s="23" t="n">
        <x:f>((H149+I149)/2)*SUMIFS('Cenários de GMD'!$E$4:$E$19,'Cenários de GMD'!$A$4:$A$19,B149,'Cenários de GMD'!$B$4:$B$19,C149)</x:f>
        <x:v>1.6704545454545454</x:v>
      </x:c>
      <x:c r="O149" s="21" t="n">
        <x:f>M149*Insumos!$E$4+N149*Insumos!$E$5</x:f>
        <x:v>4.037568181818182</x:v>
      </x:c>
      <x:c r="P149" s="21" t="n">
        <x:f>O149*Premissas!$B$7</x:f>
        <x:v>121.12704545454547</x:v>
      </x:c>
      <x:c r="Q149" s="21" t="n">
        <x:f>O149*L149</x:f>
        <x:v>0</x:v>
      </x:c>
      <x:c r="R149" s="21" t="n">
        <x:f>Premissas!$B$7*Premissas!$B$8*L149</x:f>
        <x:v>0</x:v>
      </x:c>
      <x:c r="S149" s="21" t="n">
        <x:f>D149*E149</x:f>
        <x:v>2805</x:v>
      </x:c>
      <x:c r="T149" s="21" t="n">
        <x:f>S149*F149</x:f>
        <x:v>47685</x:v>
      </x:c>
      <x:c r="U149" s="21" t="n">
        <x:f>S149-XLOOKUP(A149,Lotes!$A$4:$A$8,Lotes!$D$4:$D$8,Premissas!$B$9)-Q149-R149</x:f>
        <x:v>855</x:v>
      </x:c>
      <x:c r="V149" s="21" t="n">
        <x:f>U149*F149</x:f>
        <x:v>14535</x:v>
      </x:c>
      <x:c r="W149" s="20" t="n">
        <x:f>IF(S149=0,0,U149/S149)</x:f>
        <x:v>0.3048128342245989</x:v>
      </x:c>
      <x:c r="X149" s="21" t="n">
        <x:f>IF(D149-G149&lt;=0,0,Q149/(D149-G149))</x:f>
        <x:v>0</x:v>
      </x:c>
      <x:c r="Y149" s="20" t="n">
        <x:f>IFERROR(U149/(XLOOKUP(A149,Lotes!$A$4:$A$8,Lotes!$D$4:$D$8,Premissas!$B$9)+Q149+R149),0)</x:f>
        <x:v>0.43846153846153846</x:v>
      </x:c>
      <x:c r="Z149" s="20" t="n">
        <x:f>IF(L149=0,Y149,Y149/MAX(1,L149/Premissas!$B$7))</x:f>
        <x:v>0.43846153846153846</x:v>
      </x:c>
      <x:c r="AA149" s="19" t="str">
        <x:f>IF(L149=0,"Venda imediata",IF(L149&lt;=60,"Baixo",IF(L149&lt;=120,"Médio","Alto")))</x:f>
        <x:v>Venda imediata</x:v>
      </x:c>
      <x:c r="AB149" s="19" t="str">
        <x:f>IF(U149&lt;0,"Não fazer",IF(AA149="Alto","Risco seca",IF(Z149&gt;=0.03,"Bom giro","Margem ok")))</x:f>
        <x:v>Bom giro</x:v>
      </x:c>
    </x:row>
    <x:row r="150">
      <x:c r="A150" s="19" t="str">
        <x:v>Lote maior - otimista 9@</x:v>
      </x:c>
      <x:c r="B150" s="19" t="str">
        <x:v>Agressiva</x:v>
      </x:c>
      <x:c r="C150" s="19" t="str">
        <x:v>Ótimo</x:v>
      </x:c>
      <x:c r="D150" s="19" t="n">
        <x:v>9</x:v>
      </x:c>
      <x:c r="E150" s="21" t="n">
        <x:f>Premissas!$B$6</x:f>
        <x:v>330</x:v>
      </x:c>
      <x:c r="F150" s="19" t="n">
        <x:f>XLOOKUP(A150,Lotes!$A$4:$A$8,Lotes!$B$4:$B$8,0)</x:f>
        <x:v>17</x:v>
      </x:c>
      <x:c r="G150" s="23" t="n">
        <x:f>XLOOKUP(A150,Lotes!$A$4:$A$8,Lotes!$C$4:$C$8,0)</x:f>
        <x:v>9</x:v>
      </x:c>
      <x:c r="H150" s="23" t="n">
        <x:f>G150*Premissas!$B$5/Premissas!$B$4</x:f>
        <x:v>245.45454545454544</x:v>
      </x:c>
      <x:c r="I150" s="23" t="n">
        <x:f>D150*Premissas!$B$5/Premissas!$B$4</x:f>
        <x:v>245.45454545454544</x:v>
      </x:c>
      <x:c r="J150" s="23" t="n">
        <x:f>MAX(0,I150-H150)</x:f>
        <x:v>0</x:v>
      </x:c>
      <x:c r="K150" s="23" t="n">
        <x:f>SUMIFS('Cenários de GMD'!$C$4:$C$19,'Cenários de GMD'!$A$4:$A$19,B150,'Cenários de GMD'!$B$4:$B$19,C150)</x:f>
        <x:v>1.1</x:v>
      </x:c>
      <x:c r="L150" s="23" t="n">
        <x:f>IF(J150=0,0,J150/K150)</x:f>
        <x:v>0</x:v>
      </x:c>
      <x:c r="M150" s="23" t="n">
        <x:f>((H150+I150)/2)*SUMIFS('Cenários de GMD'!$D$4:$D$19,'Cenários de GMD'!$A$4:$A$19,B150,'Cenários de GMD'!$B$4:$B$19,C150)</x:f>
        <x:v>0.24545454545454545</x:v>
      </x:c>
      <x:c r="N150" s="23" t="n">
        <x:f>((H150+I150)/2)*SUMIFS('Cenários de GMD'!$E$4:$E$19,'Cenários de GMD'!$A$4:$A$19,B150,'Cenários de GMD'!$B$4:$B$19,C150)</x:f>
        <x:v>1.718181818181818</x:v>
      </x:c>
      <x:c r="O150" s="21" t="n">
        <x:f>M150*Insumos!$E$4+N150*Insumos!$E$5</x:f>
        <x:v>4.152927272727273</x:v>
      </x:c>
      <x:c r="P150" s="21" t="n">
        <x:f>O150*Premissas!$B$7</x:f>
        <x:v>124.58781818181818</x:v>
      </x:c>
      <x:c r="Q150" s="21" t="n">
        <x:f>O150*L150</x:f>
        <x:v>0</x:v>
      </x:c>
      <x:c r="R150" s="21" t="n">
        <x:f>Premissas!$B$7*Premissas!$B$8*L150</x:f>
        <x:v>0</x:v>
      </x:c>
      <x:c r="S150" s="21" t="n">
        <x:f>D150*E150</x:f>
        <x:v>2970</x:v>
      </x:c>
      <x:c r="T150" s="21" t="n">
        <x:f>S150*F150</x:f>
        <x:v>50490</x:v>
      </x:c>
      <x:c r="U150" s="21" t="n">
        <x:f>S150-XLOOKUP(A150,Lotes!$A$4:$A$8,Lotes!$D$4:$D$8,Premissas!$B$9)-Q150-R150</x:f>
        <x:v>1020</x:v>
      </x:c>
      <x:c r="V150" s="21" t="n">
        <x:f>U150*F150</x:f>
        <x:v>17340</x:v>
      </x:c>
      <x:c r="W150" s="20" t="n">
        <x:f>IF(S150=0,0,U150/S150)</x:f>
        <x:v>0.3434343434343434</x:v>
      </x:c>
      <x:c r="X150" s="21" t="n">
        <x:f>IF(D150-G150&lt;=0,0,Q150/(D150-G150))</x:f>
        <x:v>0</x:v>
      </x:c>
      <x:c r="Y150" s="20" t="n">
        <x:f>IFERROR(U150/(XLOOKUP(A150,Lotes!$A$4:$A$8,Lotes!$D$4:$D$8,Premissas!$B$9)+Q150+R150),0)</x:f>
        <x:v>0.5230769230769231</x:v>
      </x:c>
      <x:c r="Z150" s="20" t="n">
        <x:f>IF(L150=0,Y150,Y150/MAX(1,L150/Premissas!$B$7))</x:f>
        <x:v>0.5230769230769231</x:v>
      </x:c>
      <x:c r="AA150" s="19" t="str">
        <x:f>IF(L150=0,"Venda imediata",IF(L150&lt;=60,"Baixo",IF(L150&lt;=120,"Médio","Alto")))</x:f>
        <x:v>Venda imediata</x:v>
      </x:c>
      <x:c r="AB150" s="19" t="str">
        <x:f>IF(U150&lt;0,"Não fazer",IF(AA150="Alto","Risco seca",IF(Z150&gt;=0.03,"Bom giro","Margem ok")))</x:f>
        <x:v>Bom giro</x:v>
      </x:c>
    </x:row>
    <x:row r="151">
      <x:c r="A151" s="19" t="str">
        <x:v>Lote maior - otimista 9@</x:v>
      </x:c>
      <x:c r="B151" s="19" t="str">
        <x:v>Agressiva</x:v>
      </x:c>
      <x:c r="C151" s="19" t="str">
        <x:v>Ótimo</x:v>
      </x:c>
      <x:c r="D151" s="19" t="n">
        <x:v>10.5</x:v>
      </x:c>
      <x:c r="E151" s="21" t="n">
        <x:f>Premissas!$B$6</x:f>
        <x:v>330</x:v>
      </x:c>
      <x:c r="F151" s="19" t="n">
        <x:f>XLOOKUP(A151,Lotes!$A$4:$A$8,Lotes!$B$4:$B$8,0)</x:f>
        <x:v>17</x:v>
      </x:c>
      <x:c r="G151" s="23" t="n">
        <x:f>XLOOKUP(A151,Lotes!$A$4:$A$8,Lotes!$C$4:$C$8,0)</x:f>
        <x:v>9</x:v>
      </x:c>
      <x:c r="H151" s="23" t="n">
        <x:f>G151*Premissas!$B$5/Premissas!$B$4</x:f>
        <x:v>245.45454545454544</x:v>
      </x:c>
      <x:c r="I151" s="23" t="n">
        <x:f>D151*Premissas!$B$5/Premissas!$B$4</x:f>
        <x:v>286.3636363636363</x:v>
      </x:c>
      <x:c r="J151" s="23" t="n">
        <x:f>MAX(0,I151-H151)</x:f>
        <x:v>40.90909090909088</x:v>
      </x:c>
      <x:c r="K151" s="23" t="n">
        <x:f>SUMIFS('Cenários de GMD'!$C$4:$C$19,'Cenários de GMD'!$A$4:$A$19,B151,'Cenários de GMD'!$B$4:$B$19,C151)</x:f>
        <x:v>1.1</x:v>
      </x:c>
      <x:c r="L151" s="23" t="n">
        <x:f>IF(J151=0,0,J151/K151)</x:f>
        <x:v>37.19008264462807</x:v>
      </x:c>
      <x:c r="M151" s="23" t="n">
        <x:f>((H151+I151)/2)*SUMIFS('Cenários de GMD'!$D$4:$D$19,'Cenários de GMD'!$A$4:$A$19,B151,'Cenários de GMD'!$B$4:$B$19,C151)</x:f>
        <x:v>0.2659090909090909</x:v>
      </x:c>
      <x:c r="N151" s="23" t="n">
        <x:f>((H151+I151)/2)*SUMIFS('Cenários de GMD'!$E$4:$E$19,'Cenários de GMD'!$A$4:$A$19,B151,'Cenários de GMD'!$B$4:$B$19,C151)</x:f>
        <x:v>1.861363636363636</x:v>
      </x:c>
      <x:c r="O151" s="21" t="n">
        <x:f>M151*Insumos!$E$4+N151*Insumos!$E$5</x:f>
        <x:v>4.499004545454545</x:v>
      </x:c>
      <x:c r="P151" s="21" t="n">
        <x:f>O151*Premissas!$B$7</x:f>
        <x:v>134.97013636363636</x:v>
      </x:c>
      <x:c r="Q151" s="21" t="n">
        <x:f>O151*L151</x:f>
        <x:v>167.31835086401188</x:v>
      </x:c>
      <x:c r="R151" s="21" t="n">
        <x:f>Premissas!$B$7*Premissas!$B$8*L151</x:f>
        <x:v>0</x:v>
      </x:c>
      <x:c r="S151" s="21" t="n">
        <x:f>D151*E151</x:f>
        <x:v>3465</x:v>
      </x:c>
      <x:c r="T151" s="21" t="n">
        <x:f>S151*F151</x:f>
        <x:v>58905</x:v>
      </x:c>
      <x:c r="U151" s="21" t="n">
        <x:f>S151-XLOOKUP(A151,Lotes!$A$4:$A$8,Lotes!$D$4:$D$8,Premissas!$B$9)-Q151-R151</x:f>
        <x:v>1347.6816491359882</x:v>
      </x:c>
      <x:c r="V151" s="21" t="n">
        <x:f>U151*F151</x:f>
        <x:v>22910.5880353118</x:v>
      </x:c>
      <x:c r="W151" s="20" t="n">
        <x:f>IF(S151=0,0,U151/S151)</x:f>
        <x:v>0.3889413128819591</x:v>
      </x:c>
      <x:c r="X151" s="21" t="n">
        <x:f>IF(D151-G151&lt;=0,0,Q151/(D151-G151))</x:f>
        <x:v>111.54556724267458</x:v>
      </x:c>
      <x:c r="Y151" s="20" t="n">
        <x:f>IFERROR(U151/(XLOOKUP(A151,Lotes!$A$4:$A$8,Lotes!$D$4:$D$8,Premissas!$B$9)+Q151+R151),0)</x:f>
        <x:v>0.6365040233964067</x:v>
      </x:c>
      <x:c r="Z151" s="20" t="n">
        <x:f>IF(L151=0,Y151,Y151/MAX(1,L151/Premissas!$B$7))</x:f>
        <x:v>0.5134465788731017</x:v>
      </x:c>
      <x:c r="AA151" s="19" t="str">
        <x:f>IF(L151=0,"Venda imediata",IF(L151&lt;=60,"Baixo",IF(L151&lt;=120,"Médio","Alto")))</x:f>
        <x:v>Baixo</x:v>
      </x:c>
      <x:c r="AB151" s="19" t="str">
        <x:f>IF(U151&lt;0,"Não fazer",IF(AA151="Alto","Risco seca",IF(Z151&gt;=0.03,"Bom giro","Margem ok")))</x:f>
        <x:v>Bom giro</x:v>
      </x:c>
    </x:row>
    <x:row r="152">
      <x:c r="A152" s="19" t="str">
        <x:v>Lote maior - otimista 9@</x:v>
      </x:c>
      <x:c r="B152" s="19" t="str">
        <x:v>Agressiva</x:v>
      </x:c>
      <x:c r="C152" s="19" t="str">
        <x:v>Ótimo</x:v>
      </x:c>
      <x:c r="D152" s="19" t="n">
        <x:v>11</x:v>
      </x:c>
      <x:c r="E152" s="21" t="n">
        <x:f>Premissas!$B$6</x:f>
        <x:v>330</x:v>
      </x:c>
      <x:c r="F152" s="19" t="n">
        <x:f>XLOOKUP(A152,Lotes!$A$4:$A$8,Lotes!$B$4:$B$8,0)</x:f>
        <x:v>17</x:v>
      </x:c>
      <x:c r="G152" s="23" t="n">
        <x:f>XLOOKUP(A152,Lotes!$A$4:$A$8,Lotes!$C$4:$C$8,0)</x:f>
        <x:v>9</x:v>
      </x:c>
      <x:c r="H152" s="23" t="n">
        <x:f>G152*Premissas!$B$5/Premissas!$B$4</x:f>
        <x:v>245.45454545454544</x:v>
      </x:c>
      <x:c r="I152" s="23" t="n">
        <x:f>D152*Premissas!$B$5/Premissas!$B$4</x:f>
        <x:v>300</x:v>
      </x:c>
      <x:c r="J152" s="23" t="n">
        <x:f>MAX(0,I152-H152)</x:f>
        <x:v>54.54545454545456</x:v>
      </x:c>
      <x:c r="K152" s="23" t="n">
        <x:f>SUMIFS('Cenários de GMD'!$C$4:$C$19,'Cenários de GMD'!$A$4:$A$19,B152,'Cenários de GMD'!$B$4:$B$19,C152)</x:f>
        <x:v>1.1</x:v>
      </x:c>
      <x:c r="L152" s="23" t="n">
        <x:f>IF(J152=0,0,J152/K152)</x:f>
        <x:v>49.58677685950414</x:v>
      </x:c>
      <x:c r="M152" s="23" t="n">
        <x:f>((H152+I152)/2)*SUMIFS('Cenários de GMD'!$D$4:$D$19,'Cenários de GMD'!$A$4:$A$19,B152,'Cenários de GMD'!$B$4:$B$19,C152)</x:f>
        <x:v>0.27272727272727276</x:v>
      </x:c>
      <x:c r="N152" s="23" t="n">
        <x:f>((H152+I152)/2)*SUMIFS('Cenários de GMD'!$E$4:$E$19,'Cenários de GMD'!$A$4:$A$19,B152,'Cenários de GMD'!$B$4:$B$19,C152)</x:f>
        <x:v>1.9090909090909092</x:v>
      </x:c>
      <x:c r="O152" s="21" t="n">
        <x:f>M152*Insumos!$E$4+N152*Insumos!$E$5</x:f>
        <x:v>4.6143636363636364</x:v>
      </x:c>
      <x:c r="P152" s="21" t="n">
        <x:f>O152*Premissas!$B$7</x:f>
        <x:v>138.4309090909091</x:v>
      </x:c>
      <x:c r="Q152" s="21" t="n">
        <x:f>O152*L152</x:f>
        <x:v>228.81141998497375</x:v>
      </x:c>
      <x:c r="R152" s="21" t="n">
        <x:f>Premissas!$B$7*Premissas!$B$8*L152</x:f>
        <x:v>0</x:v>
      </x:c>
      <x:c r="S152" s="21" t="n">
        <x:f>D152*E152</x:f>
        <x:v>3630</x:v>
      </x:c>
      <x:c r="T152" s="21" t="n">
        <x:f>S152*F152</x:f>
        <x:v>61710</x:v>
      </x:c>
      <x:c r="U152" s="21" t="n">
        <x:f>S152-XLOOKUP(A152,Lotes!$A$4:$A$8,Lotes!$D$4:$D$8,Premissas!$B$9)-Q152-R152</x:f>
        <x:v>1451.1885800150262</x:v>
      </x:c>
      <x:c r="V152" s="21" t="n">
        <x:f>U152*F152</x:f>
        <x:v>24670.205860255446</x:v>
      </x:c>
      <x:c r="W152" s="20" t="n">
        <x:f>IF(S152=0,0,U152/S152)</x:f>
        <x:v>0.3997764683236987</x:v>
      </x:c>
      <x:c r="X152" s="21" t="n">
        <x:f>IF(D152-G152&lt;=0,0,Q152/(D152-G152))</x:f>
        <x:v>114.40570999248688</x:v>
      </x:c>
      <x:c r="Y152" s="20" t="n">
        <x:f>IFERROR(U152/(XLOOKUP(A152,Lotes!$A$4:$A$8,Lotes!$D$4:$D$8,Premissas!$B$9)+Q152+R152),0)</x:f>
        <x:v>0.6660459765834321</x:v>
      </x:c>
      <x:c r="Z152" s="20" t="n">
        <x:f>IF(L152=0,Y152,Y152/MAX(1,L152/Premissas!$B$7))</x:f>
        <x:v>0.40295781583297635</x:v>
      </x:c>
      <x:c r="AA152" s="19" t="str">
        <x:f>IF(L152=0,"Venda imediata",IF(L152&lt;=60,"Baixo",IF(L152&lt;=120,"Médio","Alto")))</x:f>
        <x:v>Baixo</x:v>
      </x:c>
      <x:c r="AB152" s="19" t="str">
        <x:f>IF(U152&lt;0,"Não fazer",IF(AA152="Alto","Risco seca",IF(Z152&gt;=0.03,"Bom giro","Margem ok")))</x:f>
        <x:v>Bom giro</x:v>
      </x:c>
    </x:row>
    <x:row r="153">
      <x:c r="A153" s="19" t="str">
        <x:v>Lote maior - otimista 9@</x:v>
      </x:c>
      <x:c r="B153" s="19" t="str">
        <x:v>Agressiva</x:v>
      </x:c>
      <x:c r="C153" s="19" t="str">
        <x:v>Ótimo</x:v>
      </x:c>
      <x:c r="D153" s="19" t="n">
        <x:v>12</x:v>
      </x:c>
      <x:c r="E153" s="21" t="n">
        <x:f>Premissas!$B$6</x:f>
        <x:v>330</x:v>
      </x:c>
      <x:c r="F153" s="19" t="n">
        <x:f>XLOOKUP(A153,Lotes!$A$4:$A$8,Lotes!$B$4:$B$8,0)</x:f>
        <x:v>17</x:v>
      </x:c>
      <x:c r="G153" s="23" t="n">
        <x:f>XLOOKUP(A153,Lotes!$A$4:$A$8,Lotes!$C$4:$C$8,0)</x:f>
        <x:v>9</x:v>
      </x:c>
      <x:c r="H153" s="23" t="n">
        <x:f>G153*Premissas!$B$5/Premissas!$B$4</x:f>
        <x:v>245.45454545454544</x:v>
      </x:c>
      <x:c r="I153" s="23" t="n">
        <x:f>D153*Premissas!$B$5/Premissas!$B$4</x:f>
        <x:v>327.27272727272725</x:v>
      </x:c>
      <x:c r="J153" s="23" t="n">
        <x:f>MAX(0,I153-H153)</x:f>
        <x:v>81.81818181818181</x:v>
      </x:c>
      <x:c r="K153" s="23" t="n">
        <x:f>SUMIFS('Cenários de GMD'!$C$4:$C$19,'Cenários de GMD'!$A$4:$A$19,B153,'Cenários de GMD'!$B$4:$B$19,C153)</x:f>
        <x:v>1.1</x:v>
      </x:c>
      <x:c r="L153" s="23" t="n">
        <x:f>IF(J153=0,0,J153/K153)</x:f>
        <x:v>74.38016528925618</x:v>
      </x:c>
      <x:c r="M153" s="23" t="n">
        <x:f>((H153+I153)/2)*SUMIFS('Cenários de GMD'!$D$4:$D$19,'Cenários de GMD'!$A$4:$A$19,B153,'Cenários de GMD'!$B$4:$B$19,C153)</x:f>
        <x:v>0.2863636363636364</x:v>
      </x:c>
      <x:c r="N153" s="23" t="n">
        <x:f>((H153+I153)/2)*SUMIFS('Cenários de GMD'!$E$4:$E$19,'Cenários de GMD'!$A$4:$A$19,B153,'Cenários de GMD'!$B$4:$B$19,C153)</x:f>
        <x:v>2.004545454545455</x:v>
      </x:c>
      <x:c r="O153" s="21" t="n">
        <x:f>M153*Insumos!$E$4+N153*Insumos!$E$5</x:f>
        <x:v>4.845081818181819</x:v>
      </x:c>
      <x:c r="P153" s="21" t="n">
        <x:f>O153*Premissas!$B$7</x:f>
        <x:v>145.35245454545455</x:v>
      </x:c>
      <x:c r="Q153" s="21" t="n">
        <x:f>O153*L153</x:f>
        <x:v>360.37798647633355</x:v>
      </x:c>
      <x:c r="R153" s="21" t="n">
        <x:f>Premissas!$B$7*Premissas!$B$8*L153</x:f>
        <x:v>0</x:v>
      </x:c>
      <x:c r="S153" s="21" t="n">
        <x:f>D153*E153</x:f>
        <x:v>3960</x:v>
      </x:c>
      <x:c r="T153" s="21" t="n">
        <x:f>S153*F153</x:f>
        <x:v>67320</x:v>
      </x:c>
      <x:c r="U153" s="21" t="n">
        <x:f>S153-XLOOKUP(A153,Lotes!$A$4:$A$8,Lotes!$D$4:$D$8,Premissas!$B$9)-Q153-R153</x:f>
        <x:v>1649.6220135236665</x:v>
      </x:c>
      <x:c r="V153" s="21" t="n">
        <x:f>U153*F153</x:f>
        <x:v>28043.57422990233</x:v>
      </x:c>
      <x:c r="W153" s="20" t="n">
        <x:f>IF(S153=0,0,U153/S153)</x:f>
        <x:v>0.4165712155362794</x:v>
      </x:c>
      <x:c r="X153" s="21" t="n">
        <x:f>IF(D153-G153&lt;=0,0,Q153/(D153-G153))</x:f>
        <x:v>120.12599549211119</x:v>
      </x:c>
      <x:c r="Y153" s="20" t="n">
        <x:f>IFERROR(U153/(XLOOKUP(A153,Lotes!$A$4:$A$8,Lotes!$D$4:$D$8,Premissas!$B$9)+Q153+R153),0)</x:f>
        <x:v>0.7140052507337047</x:v>
      </x:c>
      <x:c r="Z153" s="20" t="n">
        <x:f>IF(L153=0,Y153,Y153/MAX(1,L153/Premissas!$B$7))</x:f>
        <x:v>0.28798211779592764</x:v>
      </x:c>
      <x:c r="AA153" s="19" t="str">
        <x:f>IF(L153=0,"Venda imediata",IF(L153&lt;=60,"Baixo",IF(L153&lt;=120,"Médio","Alto")))</x:f>
        <x:v>Médio</x:v>
      </x:c>
      <x:c r="AB153" s="19" t="str">
        <x:f>IF(U153&lt;0,"Não fazer",IF(AA153="Alto","Risco seca",IF(Z153&gt;=0.03,"Bom giro","Margem ok")))</x:f>
        <x:v>Bom giro</x:v>
      </x:c>
    </x:row>
    <x:row r="154">
      <x:c r="A154" s="19" t="str">
        <x:v>Grupo médio 7,75@</x:v>
      </x:c>
      <x:c r="B154" s="19" t="str">
        <x:v>Somente Fortis</x:v>
      </x:c>
      <x:c r="C154" s="19" t="str">
        <x:v>Pasto fraco</x:v>
      </x:c>
      <x:c r="D154" s="19" t="n">
        <x:v>8.5</x:v>
      </x:c>
      <x:c r="E154" s="21" t="n">
        <x:f>Premissas!$B$6</x:f>
        <x:v>330</x:v>
      </x:c>
      <x:c r="F154" s="19" t="n">
        <x:f>XLOOKUP(A154,Lotes!$A$4:$A$8,Lotes!$B$4:$B$8,0)</x:f>
        <x:v>0</x:v>
      </x:c>
      <x:c r="G154" s="23" t="n">
        <x:f>XLOOKUP(A154,Lotes!$A$4:$A$8,Lotes!$C$4:$C$8,0)</x:f>
        <x:v>7.75</x:v>
      </x:c>
      <x:c r="H154" s="23" t="n">
        <x:f>G154*Premissas!$B$5/Premissas!$B$4</x:f>
        <x:v>211.36363636363635</x:v>
      </x:c>
      <x:c r="I154" s="23" t="n">
        <x:f>D154*Premissas!$B$5/Premissas!$B$4</x:f>
        <x:v>231.8181818181818</x:v>
      </x:c>
      <x:c r="J154" s="23" t="n">
        <x:f>MAX(0,I154-H154)</x:f>
        <x:v>20.454545454545467</x:v>
      </x:c>
      <x:c r="K154" s="23" t="n">
        <x:f>SUMIFS('Cenários de GMD'!$C$4:$C$19,'Cenários de GMD'!$A$4:$A$19,B154,'Cenários de GMD'!$B$4:$B$19,C154)</x:f>
        <x:v>0.1</x:v>
      </x:c>
      <x:c r="L154" s="23" t="n">
        <x:f>IF(J154=0,0,J154/K154)</x:f>
        <x:v>204.54545454545467</x:v>
      </x:c>
      <x:c r="M154" s="23" t="n">
        <x:f>((H154+I154)/2)*SUMIFS('Cenários de GMD'!$D$4:$D$19,'Cenários de GMD'!$A$4:$A$19,B154,'Cenários de GMD'!$B$4:$B$19,C154)</x:f>
        <x:v>0.22159090909090906</x:v>
      </x:c>
      <x:c r="N154" s="23" t="n">
        <x:f>((H154+I154)/2)*SUMIFS('Cenários de GMD'!$E$4:$E$19,'Cenários de GMD'!$A$4:$A$19,B154,'Cenários de GMD'!$B$4:$B$19,C154)</x:f>
        <x:v>0</x:v>
      </x:c>
      <x:c r="O154" s="21" t="n">
        <x:f>M154*Insumos!$E$4+N154*Insumos!$E$5</x:f>
        <x:v>0.67275</x:v>
      </x:c>
      <x:c r="P154" s="21" t="n">
        <x:f>O154*Premissas!$B$7</x:f>
        <x:v>20.182499999999997</x:v>
      </x:c>
      <x:c r="Q154" s="21" t="n">
        <x:f>O154*L154</x:f>
        <x:v>137.60795454545462</x:v>
      </x:c>
      <x:c r="R154" s="21" t="n">
        <x:f>Premissas!$B$7*Premissas!$B$8*L154</x:f>
        <x:v>0</x:v>
      </x:c>
      <x:c r="S154" s="21" t="n">
        <x:f>D154*E154</x:f>
        <x:v>2805</x:v>
      </x:c>
      <x:c r="T154" s="21" t="n">
        <x:f>S154*F154</x:f>
        <x:v>0</x:v>
      </x:c>
      <x:c r="U154" s="21" t="n">
        <x:f>S154-XLOOKUP(A154,Lotes!$A$4:$A$8,Lotes!$D$4:$D$8,Premissas!$B$9)-Q154-R154</x:f>
        <x:v>717.3920454545454</x:v>
      </x:c>
      <x:c r="V154" s="21" t="n">
        <x:f>U154*F154</x:f>
        <x:v>0</x:v>
      </x:c>
      <x:c r="W154" s="20" t="n">
        <x:f>IF(S154=0,0,U154/S154)</x:f>
        <x:v>0.2557547399124939</x:v>
      </x:c>
      <x:c r="X154" s="21" t="n">
        <x:f>IF(D154-G154&lt;=0,0,Q154/(D154-G154))</x:f>
        <x:v>183.47727272727283</x:v>
      </x:c>
      <x:c r="Y154" s="20" t="n">
        <x:f>IFERROR(U154/(XLOOKUP(A154,Lotes!$A$4:$A$8,Lotes!$D$4:$D$8,Premissas!$B$9)+Q154+R154),0)</x:f>
        <x:v>0.3436430886807704</x:v>
      </x:c>
      <x:c r="Z154" s="20" t="n">
        <x:f>IF(L154=0,Y154,Y154/MAX(1,L154/Premissas!$B$7))</x:f>
        <x:v>0.05040098633984629</x:v>
      </x:c>
      <x:c r="AA154" s="19" t="str">
        <x:f>IF(L154=0,"Venda imediata",IF(L154&lt;=60,"Baixo",IF(L154&lt;=120,"Médio","Alto")))</x:f>
        <x:v>Alto</x:v>
      </x:c>
      <x:c r="AB154" s="19" t="str">
        <x:f>IF(U154&lt;0,"Não fazer",IF(AA154="Alto","Risco seca",IF(Z154&gt;=0.03,"Bom giro","Margem ok")))</x:f>
        <x:v>Risco seca</x:v>
      </x:c>
    </x:row>
    <x:row r="155">
      <x:c r="A155" s="19" t="str">
        <x:v>Grupo médio 7,75@</x:v>
      </x:c>
      <x:c r="B155" s="19" t="str">
        <x:v>Somente Fortis</x:v>
      </x:c>
      <x:c r="C155" s="19" t="str">
        <x:v>Pasto fraco</x:v>
      </x:c>
      <x:c r="D155" s="19" t="n">
        <x:v>9</x:v>
      </x:c>
      <x:c r="E155" s="21" t="n">
        <x:f>Premissas!$B$6</x:f>
        <x:v>330</x:v>
      </x:c>
      <x:c r="F155" s="19" t="n">
        <x:f>XLOOKUP(A155,Lotes!$A$4:$A$8,Lotes!$B$4:$B$8,0)</x:f>
        <x:v>0</x:v>
      </x:c>
      <x:c r="G155" s="23" t="n">
        <x:f>XLOOKUP(A155,Lotes!$A$4:$A$8,Lotes!$C$4:$C$8,0)</x:f>
        <x:v>7.75</x:v>
      </x:c>
      <x:c r="H155" s="23" t="n">
        <x:f>G155*Premissas!$B$5/Premissas!$B$4</x:f>
        <x:v>211.36363636363635</x:v>
      </x:c>
      <x:c r="I155" s="23" t="n">
        <x:f>D155*Premissas!$B$5/Premissas!$B$4</x:f>
        <x:v>245.45454545454544</x:v>
      </x:c>
      <x:c r="J155" s="23" t="n">
        <x:f>MAX(0,I155-H155)</x:f>
        <x:v>34.09090909090909</x:v>
      </x:c>
      <x:c r="K155" s="23" t="n">
        <x:f>SUMIFS('Cenários de GMD'!$C$4:$C$19,'Cenários de GMD'!$A$4:$A$19,B155,'Cenários de GMD'!$B$4:$B$19,C155)</x:f>
        <x:v>0.1</x:v>
      </x:c>
      <x:c r="L155" s="23" t="n">
        <x:f>IF(J155=0,0,J155/K155)</x:f>
        <x:v>340.90909090909093</x:v>
      </x:c>
      <x:c r="M155" s="23" t="n">
        <x:f>((H155+I155)/2)*SUMIFS('Cenários de GMD'!$D$4:$D$19,'Cenários de GMD'!$A$4:$A$19,B155,'Cenários de GMD'!$B$4:$B$19,C155)</x:f>
        <x:v>0.2284090909090909</x:v>
      </x:c>
      <x:c r="N155" s="23" t="n">
        <x:f>((H155+I155)/2)*SUMIFS('Cenários de GMD'!$E$4:$E$19,'Cenários de GMD'!$A$4:$A$19,B155,'Cenários de GMD'!$B$4:$B$19,C155)</x:f>
        <x:v>0</x:v>
      </x:c>
      <x:c r="O155" s="21" t="n">
        <x:f>M155*Insumos!$E$4+N155*Insumos!$E$5</x:f>
        <x:v>0.69345</x:v>
      </x:c>
      <x:c r="P155" s="21" t="n">
        <x:f>O155*Premissas!$B$7</x:f>
        <x:v>20.8035</x:v>
      </x:c>
      <x:c r="Q155" s="21" t="n">
        <x:f>O155*L155</x:f>
        <x:v>236.40340909090912</x:v>
      </x:c>
      <x:c r="R155" s="21" t="n">
        <x:f>Premissas!$B$7*Premissas!$B$8*L155</x:f>
        <x:v>0</x:v>
      </x:c>
      <x:c r="S155" s="21" t="n">
        <x:f>D155*E155</x:f>
        <x:v>2970</x:v>
      </x:c>
      <x:c r="T155" s="21" t="n">
        <x:f>S155*F155</x:f>
        <x:v>0</x:v>
      </x:c>
      <x:c r="U155" s="21" t="n">
        <x:f>S155-XLOOKUP(A155,Lotes!$A$4:$A$8,Lotes!$D$4:$D$8,Premissas!$B$9)-Q155-R155</x:f>
        <x:v>783.5965909090909</x:v>
      </x:c>
      <x:c r="V155" s="21" t="n">
        <x:f>U155*F155</x:f>
        <x:v>0</x:v>
      </x:c>
      <x:c r="W155" s="20" t="n">
        <x:f>IF(S155=0,0,U155/S155)</x:f>
        <x:v>0.2638372359963269</x:v>
      </x:c>
      <x:c r="X155" s="21" t="n">
        <x:f>IF(D155-G155&lt;=0,0,Q155/(D155-G155))</x:f>
        <x:v>189.1227272727273</x:v>
      </x:c>
      <x:c r="Y155" s="20" t="n">
        <x:f>IFERROR(U155/(XLOOKUP(A155,Lotes!$A$4:$A$8,Lotes!$D$4:$D$8,Premissas!$B$9)+Q155+R155),0)</x:f>
        <x:v>0.35839524748770163</x:v>
      </x:c>
      <x:c r="Z155" s="20" t="n">
        <x:f>IF(L155=0,Y155,Y155/MAX(1,L155/Premissas!$B$7))</x:f>
        <x:v>0.03153878177891774</x:v>
      </x:c>
      <x:c r="AA155" s="19" t="str">
        <x:f>IF(L155=0,"Venda imediata",IF(L155&lt;=60,"Baixo",IF(L155&lt;=120,"Médio","Alto")))</x:f>
        <x:v>Alto</x:v>
      </x:c>
      <x:c r="AB155" s="19" t="str">
        <x:f>IF(U155&lt;0,"Não fazer",IF(AA155="Alto","Risco seca",IF(Z155&gt;=0.03,"Bom giro","Margem ok")))</x:f>
        <x:v>Risco seca</x:v>
      </x:c>
    </x:row>
    <x:row r="156">
      <x:c r="A156" s="19" t="str">
        <x:v>Grupo médio 7,75@</x:v>
      </x:c>
      <x:c r="B156" s="19" t="str">
        <x:v>Somente Fortis</x:v>
      </x:c>
      <x:c r="C156" s="19" t="str">
        <x:v>Pasto fraco</x:v>
      </x:c>
      <x:c r="D156" s="19" t="n">
        <x:v>10.5</x:v>
      </x:c>
      <x:c r="E156" s="21" t="n">
        <x:f>Premissas!$B$6</x:f>
        <x:v>330</x:v>
      </x:c>
      <x:c r="F156" s="19" t="n">
        <x:f>XLOOKUP(A156,Lotes!$A$4:$A$8,Lotes!$B$4:$B$8,0)</x:f>
        <x:v>0</x:v>
      </x:c>
      <x:c r="G156" s="23" t="n">
        <x:f>XLOOKUP(A156,Lotes!$A$4:$A$8,Lotes!$C$4:$C$8,0)</x:f>
        <x:v>7.75</x:v>
      </x:c>
      <x:c r="H156" s="23" t="n">
        <x:f>G156*Premissas!$B$5/Premissas!$B$4</x:f>
        <x:v>211.36363636363635</x:v>
      </x:c>
      <x:c r="I156" s="23" t="n">
        <x:f>D156*Premissas!$B$5/Premissas!$B$4</x:f>
        <x:v>286.3636363636363</x:v>
      </x:c>
      <x:c r="J156" s="23" t="n">
        <x:f>MAX(0,I156-H156)</x:f>
        <x:v>74.99999999999997</x:v>
      </x:c>
      <x:c r="K156" s="23" t="n">
        <x:f>SUMIFS('Cenários de GMD'!$C$4:$C$19,'Cenários de GMD'!$A$4:$A$19,B156,'Cenários de GMD'!$B$4:$B$19,C156)</x:f>
        <x:v>0.1</x:v>
      </x:c>
      <x:c r="L156" s="23" t="n">
        <x:f>IF(J156=0,0,J156/K156)</x:f>
        <x:v>749.9999999999997</x:v>
      </x:c>
      <x:c r="M156" s="23" t="n">
        <x:f>((H156+I156)/2)*SUMIFS('Cenários de GMD'!$D$4:$D$19,'Cenários de GMD'!$A$4:$A$19,B156,'Cenários de GMD'!$B$4:$B$19,C156)</x:f>
        <x:v>0.24886363636363631</x:v>
      </x:c>
      <x:c r="N156" s="23" t="n">
        <x:f>((H156+I156)/2)*SUMIFS('Cenários de GMD'!$E$4:$E$19,'Cenários de GMD'!$A$4:$A$19,B156,'Cenários de GMD'!$B$4:$B$19,C156)</x:f>
        <x:v>0</x:v>
      </x:c>
      <x:c r="O156" s="21" t="n">
        <x:f>M156*Insumos!$E$4+N156*Insumos!$E$5</x:f>
        <x:v>0.7555499999999998</x:v>
      </x:c>
      <x:c r="P156" s="21" t="n">
        <x:f>O156*Premissas!$B$7</x:f>
        <x:v>22.666499999999996</x:v>
      </x:c>
      <x:c r="Q156" s="21" t="n">
        <x:f>O156*L156</x:f>
        <x:v>566.6624999999996</x:v>
      </x:c>
      <x:c r="R156" s="21" t="n">
        <x:f>Premissas!$B$7*Premissas!$B$8*L156</x:f>
        <x:v>0</x:v>
      </x:c>
      <x:c r="S156" s="21" t="n">
        <x:f>D156*E156</x:f>
        <x:v>3465</x:v>
      </x:c>
      <x:c r="T156" s="21" t="n">
        <x:f>S156*F156</x:f>
        <x:v>0</x:v>
      </x:c>
      <x:c r="U156" s="21" t="n">
        <x:f>S156-XLOOKUP(A156,Lotes!$A$4:$A$8,Lotes!$D$4:$D$8,Premissas!$B$9)-Q156-R156</x:f>
        <x:v>948.3375000000004</x:v>
      </x:c>
      <x:c r="V156" s="21" t="n">
        <x:f>U156*F156</x:f>
        <x:v>0</x:v>
      </x:c>
      <x:c r="W156" s="20" t="n">
        <x:f>IF(S156=0,0,U156/S156)</x:f>
        <x:v>0.2736904761904763</x:v>
      </x:c>
      <x:c r="X156" s="21" t="n">
        <x:f>IF(D156-G156&lt;=0,0,Q156/(D156-G156))</x:f>
        <x:v>206.05909090909074</x:v>
      </x:c>
      <x:c r="Y156" s="20" t="n">
        <x:f>IFERROR(U156/(XLOOKUP(A156,Lotes!$A$4:$A$8,Lotes!$D$4:$D$8,Premissas!$B$9)+Q156+R156),0)</x:f>
        <x:v>0.37682347156203927</x:v>
      </x:c>
      <x:c r="Z156" s="20" t="n">
        <x:f>IF(L156=0,Y156,Y156/MAX(1,L156/Premissas!$B$7))</x:f>
        <x:v>0.015072938862481577</x:v>
      </x:c>
      <x:c r="AA156" s="19" t="str">
        <x:f>IF(L156=0,"Venda imediata",IF(L156&lt;=60,"Baixo",IF(L156&lt;=120,"Médio","Alto")))</x:f>
        <x:v>Alto</x:v>
      </x:c>
      <x:c r="AB156" s="19" t="str">
        <x:f>IF(U156&lt;0,"Não fazer",IF(AA156="Alto","Risco seca",IF(Z156&gt;=0.03,"Bom giro","Margem ok")))</x:f>
        <x:v>Risco seca</x:v>
      </x:c>
    </x:row>
    <x:row r="157">
      <x:c r="A157" s="19" t="str">
        <x:v>Grupo médio 7,75@</x:v>
      </x:c>
      <x:c r="B157" s="19" t="str">
        <x:v>Somente Fortis</x:v>
      </x:c>
      <x:c r="C157" s="19" t="str">
        <x:v>Pasto fraco</x:v>
      </x:c>
      <x:c r="D157" s="19" t="n">
        <x:v>11</x:v>
      </x:c>
      <x:c r="E157" s="21" t="n">
        <x:f>Premissas!$B$6</x:f>
        <x:v>330</x:v>
      </x:c>
      <x:c r="F157" s="19" t="n">
        <x:f>XLOOKUP(A157,Lotes!$A$4:$A$8,Lotes!$B$4:$B$8,0)</x:f>
        <x:v>0</x:v>
      </x:c>
      <x:c r="G157" s="23" t="n">
        <x:f>XLOOKUP(A157,Lotes!$A$4:$A$8,Lotes!$C$4:$C$8,0)</x:f>
        <x:v>7.75</x:v>
      </x:c>
      <x:c r="H157" s="23" t="n">
        <x:f>G157*Premissas!$B$5/Premissas!$B$4</x:f>
        <x:v>211.36363636363635</x:v>
      </x:c>
      <x:c r="I157" s="23" t="n">
        <x:f>D157*Premissas!$B$5/Premissas!$B$4</x:f>
        <x:v>300</x:v>
      </x:c>
      <x:c r="J157" s="23" t="n">
        <x:f>MAX(0,I157-H157)</x:f>
        <x:v>88.63636363636365</x:v>
      </x:c>
      <x:c r="K157" s="23" t="n">
        <x:f>SUMIFS('Cenários de GMD'!$C$4:$C$19,'Cenários de GMD'!$A$4:$A$19,B157,'Cenários de GMD'!$B$4:$B$19,C157)</x:f>
        <x:v>0.1</x:v>
      </x:c>
      <x:c r="L157" s="23" t="n">
        <x:f>IF(J157=0,0,J157/K157)</x:f>
        <x:v>886.3636363636365</x:v>
      </x:c>
      <x:c r="M157" s="23" t="n">
        <x:f>((H157+I157)/2)*SUMIFS('Cenários de GMD'!$D$4:$D$19,'Cenários de GMD'!$A$4:$A$19,B157,'Cenários de GMD'!$B$4:$B$19,C157)</x:f>
        <x:v>0.2556818181818182</x:v>
      </x:c>
      <x:c r="N157" s="23" t="n">
        <x:f>((H157+I157)/2)*SUMIFS('Cenários de GMD'!$E$4:$E$19,'Cenários de GMD'!$A$4:$A$19,B157,'Cenários de GMD'!$B$4:$B$19,C157)</x:f>
        <x:v>0</x:v>
      </x:c>
      <x:c r="O157" s="21" t="n">
        <x:f>M157*Insumos!$E$4+N157*Insumos!$E$5</x:f>
        <x:v>0.77625</x:v>
      </x:c>
      <x:c r="P157" s="21" t="n">
        <x:f>O157*Premissas!$B$7</x:f>
        <x:v>23.2875</x:v>
      </x:c>
      <x:c r="Q157" s="21" t="n">
        <x:f>O157*L157</x:f>
        <x:v>688.0397727272729</x:v>
      </x:c>
      <x:c r="R157" s="21" t="n">
        <x:f>Premissas!$B$7*Premissas!$B$8*L157</x:f>
        <x:v>0</x:v>
      </x:c>
      <x:c r="S157" s="21" t="n">
        <x:f>D157*E157</x:f>
        <x:v>3630</x:v>
      </x:c>
      <x:c r="T157" s="21" t="n">
        <x:f>S157*F157</x:f>
        <x:v>0</x:v>
      </x:c>
      <x:c r="U157" s="21" t="n">
        <x:f>S157-XLOOKUP(A157,Lotes!$A$4:$A$8,Lotes!$D$4:$D$8,Premissas!$B$9)-Q157-R157</x:f>
        <x:v>991.9602272727271</x:v>
      </x:c>
      <x:c r="V157" s="21" t="n">
        <x:f>U157*F157</x:f>
        <x:v>0</x:v>
      </x:c>
      <x:c r="W157" s="20" t="n">
        <x:f>IF(S157=0,0,U157/S157)</x:f>
        <x:v>0.2732672802404207</x:v>
      </x:c>
      <x:c r="X157" s="21" t="n">
        <x:f>IF(D157-G157&lt;=0,0,Q157/(D157-G157))</x:f>
        <x:v>211.7045454545455</x:v>
      </x:c>
      <x:c r="Y157" s="20" t="n">
        <x:f>IFERROR(U157/(XLOOKUP(A157,Lotes!$A$4:$A$8,Lotes!$D$4:$D$8,Premissas!$B$9)+Q157+R157),0)</x:f>
        <x:v>0.37602171033502396</x:v>
      </x:c>
      <x:c r="Z157" s="20" t="n">
        <x:f>IF(L157=0,Y157,Y157/MAX(1,L157/Premissas!$B$7))</x:f>
        <x:v>0.012726888657493116</x:v>
      </x:c>
      <x:c r="AA157" s="19" t="str">
        <x:f>IF(L157=0,"Venda imediata",IF(L157&lt;=60,"Baixo",IF(L157&lt;=120,"Médio","Alto")))</x:f>
        <x:v>Alto</x:v>
      </x:c>
      <x:c r="AB157" s="19" t="str">
        <x:f>IF(U157&lt;0,"Não fazer",IF(AA157="Alto","Risco seca",IF(Z157&gt;=0.03,"Bom giro","Margem ok")))</x:f>
        <x:v>Risco seca</x:v>
      </x:c>
    </x:row>
    <x:row r="158">
      <x:c r="A158" s="19" t="str">
        <x:v>Grupo médio 7,75@</x:v>
      </x:c>
      <x:c r="B158" s="19" t="str">
        <x:v>Somente Fortis</x:v>
      </x:c>
      <x:c r="C158" s="19" t="str">
        <x:v>Pasto fraco</x:v>
      </x:c>
      <x:c r="D158" s="19" t="n">
        <x:v>12</x:v>
      </x:c>
      <x:c r="E158" s="21" t="n">
        <x:f>Premissas!$B$6</x:f>
        <x:v>330</x:v>
      </x:c>
      <x:c r="F158" s="19" t="n">
        <x:f>XLOOKUP(A158,Lotes!$A$4:$A$8,Lotes!$B$4:$B$8,0)</x:f>
        <x:v>0</x:v>
      </x:c>
      <x:c r="G158" s="23" t="n">
        <x:f>XLOOKUP(A158,Lotes!$A$4:$A$8,Lotes!$C$4:$C$8,0)</x:f>
        <x:v>7.75</x:v>
      </x:c>
      <x:c r="H158" s="23" t="n">
        <x:f>G158*Premissas!$B$5/Premissas!$B$4</x:f>
        <x:v>211.36363636363635</x:v>
      </x:c>
      <x:c r="I158" s="23" t="n">
        <x:f>D158*Premissas!$B$5/Premissas!$B$4</x:f>
        <x:v>327.27272727272725</x:v>
      </x:c>
      <x:c r="J158" s="23" t="n">
        <x:f>MAX(0,I158-H158)</x:f>
        <x:v>115.9090909090909</x:v>
      </x:c>
      <x:c r="K158" s="23" t="n">
        <x:f>SUMIFS('Cenários de GMD'!$C$4:$C$19,'Cenários de GMD'!$A$4:$A$19,B158,'Cenários de GMD'!$B$4:$B$19,C158)</x:f>
        <x:v>0.1</x:v>
      </x:c>
      <x:c r="L158" s="23" t="n">
        <x:f>IF(J158=0,0,J158/K158)</x:f>
        <x:v>1159.090909090909</x:v>
      </x:c>
      <x:c r="M158" s="23" t="n">
        <x:f>((H158+I158)/2)*SUMIFS('Cenários de GMD'!$D$4:$D$19,'Cenários de GMD'!$A$4:$A$19,B158,'Cenários de GMD'!$B$4:$B$19,C158)</x:f>
        <x:v>0.26931818181818185</x:v>
      </x:c>
      <x:c r="N158" s="23" t="n">
        <x:f>((H158+I158)/2)*SUMIFS('Cenários de GMD'!$E$4:$E$19,'Cenários de GMD'!$A$4:$A$19,B158,'Cenários de GMD'!$B$4:$B$19,C158)</x:f>
        <x:v>0</x:v>
      </x:c>
      <x:c r="O158" s="21" t="n">
        <x:f>M158*Insumos!$E$4+N158*Insumos!$E$5</x:f>
        <x:v>0.8176500000000001</x:v>
      </x:c>
      <x:c r="P158" s="21" t="n">
        <x:f>O158*Premissas!$B$7</x:f>
        <x:v>24.529500000000002</x:v>
      </x:c>
      <x:c r="Q158" s="21" t="n">
        <x:f>O158*L158</x:f>
        <x:v>947.7306818181819</x:v>
      </x:c>
      <x:c r="R158" s="21" t="n">
        <x:f>Premissas!$B$7*Premissas!$B$8*L158</x:f>
        <x:v>0</x:v>
      </x:c>
      <x:c r="S158" s="21" t="n">
        <x:f>D158*E158</x:f>
        <x:v>3960</x:v>
      </x:c>
      <x:c r="T158" s="21" t="n">
        <x:f>S158*F158</x:f>
        <x:v>0</x:v>
      </x:c>
      <x:c r="U158" s="21" t="n">
        <x:f>S158-XLOOKUP(A158,Lotes!$A$4:$A$8,Lotes!$D$4:$D$8,Premissas!$B$9)-Q158-R158</x:f>
        <x:v>1062.269318181818</x:v>
      </x:c>
      <x:c r="V158" s="21" t="n">
        <x:f>U158*F158</x:f>
        <x:v>0</x:v>
      </x:c>
      <x:c r="W158" s="20" t="n">
        <x:f>IF(S158=0,0,U158/S158)</x:f>
        <x:v>0.26824982782369144</x:v>
      </x:c>
      <x:c r="X158" s="21" t="n">
        <x:f>IF(D158-G158&lt;=0,0,Q158/(D158-G158))</x:f>
        <x:v>222.99545454545455</x:v>
      </x:c>
      <x:c r="Y158" s="20" t="n">
        <x:f>IFERROR(U158/(XLOOKUP(A158,Lotes!$A$4:$A$8,Lotes!$D$4:$D$8,Premissas!$B$9)+Q158+R158),0)</x:f>
        <x:v>0.36658662754514404</x:v>
      </x:c>
      <x:c r="Z158" s="20" t="n">
        <x:f>IF(L158=0,Y158,Y158/MAX(1,L158/Premissas!$B$7))</x:f>
        <x:v>0.009488124477639023</x:v>
      </x:c>
      <x:c r="AA158" s="19" t="str">
        <x:f>IF(L158=0,"Venda imediata",IF(L158&lt;=60,"Baixo",IF(L158&lt;=120,"Médio","Alto")))</x:f>
        <x:v>Alto</x:v>
      </x:c>
      <x:c r="AB158" s="19" t="str">
        <x:f>IF(U158&lt;0,"Não fazer",IF(AA158="Alto","Risco seca",IF(Z158&gt;=0.03,"Bom giro","Margem ok")))</x:f>
        <x:v>Risco seca</x:v>
      </x:c>
    </x:row>
    <x:row r="159">
      <x:c r="A159" s="19" t="str">
        <x:v>Grupo médio 7,75@</x:v>
      </x:c>
      <x:c r="B159" s="19" t="str">
        <x:v>Somente Fortis</x:v>
      </x:c>
      <x:c r="C159" s="19" t="str">
        <x:v>Pasto médio</x:v>
      </x:c>
      <x:c r="D159" s="19" t="n">
        <x:v>8.5</x:v>
      </x:c>
      <x:c r="E159" s="21" t="n">
        <x:f>Premissas!$B$6</x:f>
        <x:v>330</x:v>
      </x:c>
      <x:c r="F159" s="19" t="n">
        <x:f>XLOOKUP(A159,Lotes!$A$4:$A$8,Lotes!$B$4:$B$8,0)</x:f>
        <x:v>0</x:v>
      </x:c>
      <x:c r="G159" s="23" t="n">
        <x:f>XLOOKUP(A159,Lotes!$A$4:$A$8,Lotes!$C$4:$C$8,0)</x:f>
        <x:v>7.75</x:v>
      </x:c>
      <x:c r="H159" s="23" t="n">
        <x:f>G159*Premissas!$B$5/Premissas!$B$4</x:f>
        <x:v>211.36363636363635</x:v>
      </x:c>
      <x:c r="I159" s="23" t="n">
        <x:f>D159*Premissas!$B$5/Premissas!$B$4</x:f>
        <x:v>231.8181818181818</x:v>
      </x:c>
      <x:c r="J159" s="23" t="n">
        <x:f>MAX(0,I159-H159)</x:f>
        <x:v>20.454545454545467</x:v>
      </x:c>
      <x:c r="K159" s="23" t="n">
        <x:f>SUMIFS('Cenários de GMD'!$C$4:$C$19,'Cenários de GMD'!$A$4:$A$19,B159,'Cenários de GMD'!$B$4:$B$19,C159)</x:f>
        <x:v>0.3</x:v>
      </x:c>
      <x:c r="L159" s="23" t="n">
        <x:f>IF(J159=0,0,J159/K159)</x:f>
        <x:v>68.18181818181823</x:v>
      </x:c>
      <x:c r="M159" s="23" t="n">
        <x:f>((H159+I159)/2)*SUMIFS('Cenários de GMD'!$D$4:$D$19,'Cenários de GMD'!$A$4:$A$19,B159,'Cenários de GMD'!$B$4:$B$19,C159)</x:f>
        <x:v>0.22159090909090906</x:v>
      </x:c>
      <x:c r="N159" s="23" t="n">
        <x:f>((H159+I159)/2)*SUMIFS('Cenários de GMD'!$E$4:$E$19,'Cenários de GMD'!$A$4:$A$19,B159,'Cenários de GMD'!$B$4:$B$19,C159)</x:f>
        <x:v>0</x:v>
      </x:c>
      <x:c r="O159" s="21" t="n">
        <x:f>M159*Insumos!$E$4+N159*Insumos!$E$5</x:f>
        <x:v>0.67275</x:v>
      </x:c>
      <x:c r="P159" s="21" t="n">
        <x:f>O159*Premissas!$B$7</x:f>
        <x:v>20.182499999999997</x:v>
      </x:c>
      <x:c r="Q159" s="21" t="n">
        <x:f>O159*L159</x:f>
        <x:v>45.86931818181821</x:v>
      </x:c>
      <x:c r="R159" s="21" t="n">
        <x:f>Premissas!$B$7*Premissas!$B$8*L159</x:f>
        <x:v>0</x:v>
      </x:c>
      <x:c r="S159" s="21" t="n">
        <x:f>D159*E159</x:f>
        <x:v>2805</x:v>
      </x:c>
      <x:c r="T159" s="21" t="n">
        <x:f>S159*F159</x:f>
        <x:v>0</x:v>
      </x:c>
      <x:c r="U159" s="21" t="n">
        <x:f>S159-XLOOKUP(A159,Lotes!$A$4:$A$8,Lotes!$D$4:$D$8,Premissas!$B$9)-Q159-R159</x:f>
        <x:v>809.1306818181818</x:v>
      </x:c>
      <x:c r="V159" s="21" t="n">
        <x:f>U159*F159</x:f>
        <x:v>0</x:v>
      </x:c>
      <x:c r="W159" s="20" t="n">
        <x:f>IF(S159=0,0,U159/S159)</x:f>
        <x:v>0.2884601361205639</x:v>
      </x:c>
      <x:c r="X159" s="21" t="n">
        <x:f>IF(D159-G159&lt;=0,0,Q159/(D159-G159))</x:f>
        <x:v>61.15909090909094</x:v>
      </x:c>
      <x:c r="Y159" s="20" t="n">
        <x:f>IFERROR(U159/(XLOOKUP(A159,Lotes!$A$4:$A$8,Lotes!$D$4:$D$8,Premissas!$B$9)+Q159+R159),0)</x:f>
        <x:v>0.40540263555695993</x:v>
      </x:c>
      <x:c r="Z159" s="20" t="n">
        <x:f>IF(L159=0,Y159,Y159/MAX(1,L159/Premissas!$B$7))</x:f>
        <x:v>0.17837715964506226</x:v>
      </x:c>
      <x:c r="AA159" s="19" t="str">
        <x:f>IF(L159=0,"Venda imediata",IF(L159&lt;=60,"Baixo",IF(L159&lt;=120,"Médio","Alto")))</x:f>
        <x:v>Médio</x:v>
      </x:c>
      <x:c r="AB159" s="19" t="str">
        <x:f>IF(U159&lt;0,"Não fazer",IF(AA159="Alto","Risco seca",IF(Z159&gt;=0.03,"Bom giro","Margem ok")))</x:f>
        <x:v>Bom giro</x:v>
      </x:c>
    </x:row>
    <x:row r="160">
      <x:c r="A160" s="19" t="str">
        <x:v>Grupo médio 7,75@</x:v>
      </x:c>
      <x:c r="B160" s="19" t="str">
        <x:v>Somente Fortis</x:v>
      </x:c>
      <x:c r="C160" s="19" t="str">
        <x:v>Pasto médio</x:v>
      </x:c>
      <x:c r="D160" s="19" t="n">
        <x:v>9</x:v>
      </x:c>
      <x:c r="E160" s="21" t="n">
        <x:f>Premissas!$B$6</x:f>
        <x:v>330</x:v>
      </x:c>
      <x:c r="F160" s="19" t="n">
        <x:f>XLOOKUP(A160,Lotes!$A$4:$A$8,Lotes!$B$4:$B$8,0)</x:f>
        <x:v>0</x:v>
      </x:c>
      <x:c r="G160" s="23" t="n">
        <x:f>XLOOKUP(A160,Lotes!$A$4:$A$8,Lotes!$C$4:$C$8,0)</x:f>
        <x:v>7.75</x:v>
      </x:c>
      <x:c r="H160" s="23" t="n">
        <x:f>G160*Premissas!$B$5/Premissas!$B$4</x:f>
        <x:v>211.36363636363635</x:v>
      </x:c>
      <x:c r="I160" s="23" t="n">
        <x:f>D160*Premissas!$B$5/Premissas!$B$4</x:f>
        <x:v>245.45454545454544</x:v>
      </x:c>
      <x:c r="J160" s="23" t="n">
        <x:f>MAX(0,I160-H160)</x:f>
        <x:v>34.09090909090909</x:v>
      </x:c>
      <x:c r="K160" s="23" t="n">
        <x:f>SUMIFS('Cenários de GMD'!$C$4:$C$19,'Cenários de GMD'!$A$4:$A$19,B160,'Cenários de GMD'!$B$4:$B$19,C160)</x:f>
        <x:v>0.3</x:v>
      </x:c>
      <x:c r="L160" s="23" t="n">
        <x:f>IF(J160=0,0,J160/K160)</x:f>
        <x:v>113.63636363636365</x:v>
      </x:c>
      <x:c r="M160" s="23" t="n">
        <x:f>((H160+I160)/2)*SUMIFS('Cenários de GMD'!$D$4:$D$19,'Cenários de GMD'!$A$4:$A$19,B160,'Cenários de GMD'!$B$4:$B$19,C160)</x:f>
        <x:v>0.2284090909090909</x:v>
      </x:c>
      <x:c r="N160" s="23" t="n">
        <x:f>((H160+I160)/2)*SUMIFS('Cenários de GMD'!$E$4:$E$19,'Cenários de GMD'!$A$4:$A$19,B160,'Cenários de GMD'!$B$4:$B$19,C160)</x:f>
        <x:v>0</x:v>
      </x:c>
      <x:c r="O160" s="21" t="n">
        <x:f>M160*Insumos!$E$4+N160*Insumos!$E$5</x:f>
        <x:v>0.69345</x:v>
      </x:c>
      <x:c r="P160" s="21" t="n">
        <x:f>O160*Premissas!$B$7</x:f>
        <x:v>20.8035</x:v>
      </x:c>
      <x:c r="Q160" s="21" t="n">
        <x:f>O160*L160</x:f>
        <x:v>78.80113636363637</x:v>
      </x:c>
      <x:c r="R160" s="21" t="n">
        <x:f>Premissas!$B$7*Premissas!$B$8*L160</x:f>
        <x:v>0</x:v>
      </x:c>
      <x:c r="S160" s="21" t="n">
        <x:f>D160*E160</x:f>
        <x:v>2970</x:v>
      </x:c>
      <x:c r="T160" s="21" t="n">
        <x:f>S160*F160</x:f>
        <x:v>0</x:v>
      </x:c>
      <x:c r="U160" s="21" t="n">
        <x:f>S160-XLOOKUP(A160,Lotes!$A$4:$A$8,Lotes!$D$4:$D$8,Premissas!$B$9)-Q160-R160</x:f>
        <x:v>941.1988636363636</x:v>
      </x:c>
      <x:c r="V160" s="21" t="n">
        <x:f>U160*F160</x:f>
        <x:v>0</x:v>
      </x:c>
      <x:c r="W160" s="20" t="n">
        <x:f>IF(S160=0,0,U160/S160)</x:f>
        <x:v>0.31690197428833794</x:v>
      </x:c>
      <x:c r="X160" s="21" t="n">
        <x:f>IF(D160-G160&lt;=0,0,Q160/(D160-G160))</x:f>
        <x:v>63.040909090909096</x:v>
      </x:c>
      <x:c r="Y160" s="20" t="n">
        <x:f>IFERROR(U160/(XLOOKUP(A160,Lotes!$A$4:$A$8,Lotes!$D$4:$D$8,Premissas!$B$9)+Q160+R160),0)</x:f>
        <x:v>0.46391873839510006</x:v>
      </x:c>
      <x:c r="Z160" s="20" t="n">
        <x:f>IF(L160=0,Y160,Y160/MAX(1,L160/Premissas!$B$7))</x:f>
        <x:v>0.1224745469363064</x:v>
      </x:c>
      <x:c r="AA160" s="19" t="str">
        <x:f>IF(L160=0,"Venda imediata",IF(L160&lt;=60,"Baixo",IF(L160&lt;=120,"Médio","Alto")))</x:f>
        <x:v>Médio</x:v>
      </x:c>
      <x:c r="AB160" s="19" t="str">
        <x:f>IF(U160&lt;0,"Não fazer",IF(AA160="Alto","Risco seca",IF(Z160&gt;=0.03,"Bom giro","Margem ok")))</x:f>
        <x:v>Bom giro</x:v>
      </x:c>
    </x:row>
    <x:row r="161">
      <x:c r="A161" s="19" t="str">
        <x:v>Grupo médio 7,75@</x:v>
      </x:c>
      <x:c r="B161" s="19" t="str">
        <x:v>Somente Fortis</x:v>
      </x:c>
      <x:c r="C161" s="19" t="str">
        <x:v>Pasto médio</x:v>
      </x:c>
      <x:c r="D161" s="19" t="n">
        <x:v>10.5</x:v>
      </x:c>
      <x:c r="E161" s="21" t="n">
        <x:f>Premissas!$B$6</x:f>
        <x:v>330</x:v>
      </x:c>
      <x:c r="F161" s="19" t="n">
        <x:f>XLOOKUP(A161,Lotes!$A$4:$A$8,Lotes!$B$4:$B$8,0)</x:f>
        <x:v>0</x:v>
      </x:c>
      <x:c r="G161" s="23" t="n">
        <x:f>XLOOKUP(A161,Lotes!$A$4:$A$8,Lotes!$C$4:$C$8,0)</x:f>
        <x:v>7.75</x:v>
      </x:c>
      <x:c r="H161" s="23" t="n">
        <x:f>G161*Premissas!$B$5/Premissas!$B$4</x:f>
        <x:v>211.36363636363635</x:v>
      </x:c>
      <x:c r="I161" s="23" t="n">
        <x:f>D161*Premissas!$B$5/Premissas!$B$4</x:f>
        <x:v>286.3636363636363</x:v>
      </x:c>
      <x:c r="J161" s="23" t="n">
        <x:f>MAX(0,I161-H161)</x:f>
        <x:v>74.99999999999997</x:v>
      </x:c>
      <x:c r="K161" s="23" t="n">
        <x:f>SUMIFS('Cenários de GMD'!$C$4:$C$19,'Cenários de GMD'!$A$4:$A$19,B161,'Cenários de GMD'!$B$4:$B$19,C161)</x:f>
        <x:v>0.3</x:v>
      </x:c>
      <x:c r="L161" s="23" t="n">
        <x:f>IF(J161=0,0,J161/K161)</x:f>
        <x:v>249.99999999999991</x:v>
      </x:c>
      <x:c r="M161" s="23" t="n">
        <x:f>((H161+I161)/2)*SUMIFS('Cenários de GMD'!$D$4:$D$19,'Cenários de GMD'!$A$4:$A$19,B161,'Cenários de GMD'!$B$4:$B$19,C161)</x:f>
        <x:v>0.24886363636363631</x:v>
      </x:c>
      <x:c r="N161" s="23" t="n">
        <x:f>((H161+I161)/2)*SUMIFS('Cenários de GMD'!$E$4:$E$19,'Cenários de GMD'!$A$4:$A$19,B161,'Cenários de GMD'!$B$4:$B$19,C161)</x:f>
        <x:v>0</x:v>
      </x:c>
      <x:c r="O161" s="21" t="n">
        <x:f>M161*Insumos!$E$4+N161*Insumos!$E$5</x:f>
        <x:v>0.7555499999999998</x:v>
      </x:c>
      <x:c r="P161" s="21" t="n">
        <x:f>O161*Premissas!$B$7</x:f>
        <x:v>22.666499999999996</x:v>
      </x:c>
      <x:c r="Q161" s="21" t="n">
        <x:f>O161*L161</x:f>
        <x:v>188.8874999999999</x:v>
      </x:c>
      <x:c r="R161" s="21" t="n">
        <x:f>Premissas!$B$7*Premissas!$B$8*L161</x:f>
        <x:v>0</x:v>
      </x:c>
      <x:c r="S161" s="21" t="n">
        <x:f>D161*E161</x:f>
        <x:v>3465</x:v>
      </x:c>
      <x:c r="T161" s="21" t="n">
        <x:f>S161*F161</x:f>
        <x:v>0</x:v>
      </x:c>
      <x:c r="U161" s="21" t="n">
        <x:f>S161-XLOOKUP(A161,Lotes!$A$4:$A$8,Lotes!$D$4:$D$8,Premissas!$B$9)-Q161-R161</x:f>
        <x:v>1326.1125000000002</x:v>
      </x:c>
      <x:c r="V161" s="21" t="n">
        <x:f>U161*F161</x:f>
        <x:v>0</x:v>
      </x:c>
      <x:c r="W161" s="20" t="n">
        <x:f>IF(S161=0,0,U161/S161)</x:f>
        <x:v>0.3827164502164503</x:v>
      </x:c>
      <x:c r="X161" s="21" t="n">
        <x:f>IF(D161-G161&lt;=0,0,Q161/(D161-G161))</x:f>
        <x:v>68.6863636363636</x:v>
      </x:c>
      <x:c r="Y161" s="20" t="n">
        <x:f>IFERROR(U161/(XLOOKUP(A161,Lotes!$A$4:$A$8,Lotes!$D$4:$D$8,Premissas!$B$9)+Q161+R161),0)</x:f>
        <x:v>0.6200010519487351</x:v>
      </x:c>
      <x:c r="Z161" s="20" t="n">
        <x:f>IF(L161=0,Y161,Y161/MAX(1,L161/Premissas!$B$7))</x:f>
        <x:v>0.07440012623384824</x:v>
      </x:c>
      <x:c r="AA161" s="19" t="str">
        <x:f>IF(L161=0,"Venda imediata",IF(L161&lt;=60,"Baixo",IF(L161&lt;=120,"Médio","Alto")))</x:f>
        <x:v>Alto</x:v>
      </x:c>
      <x:c r="AB161" s="19" t="str">
        <x:f>IF(U161&lt;0,"Não fazer",IF(AA161="Alto","Risco seca",IF(Z161&gt;=0.03,"Bom giro","Margem ok")))</x:f>
        <x:v>Risco seca</x:v>
      </x:c>
    </x:row>
    <x:row r="162">
      <x:c r="A162" s="19" t="str">
        <x:v>Grupo médio 7,75@</x:v>
      </x:c>
      <x:c r="B162" s="19" t="str">
        <x:v>Somente Fortis</x:v>
      </x:c>
      <x:c r="C162" s="19" t="str">
        <x:v>Pasto médio</x:v>
      </x:c>
      <x:c r="D162" s="19" t="n">
        <x:v>11</x:v>
      </x:c>
      <x:c r="E162" s="21" t="n">
        <x:f>Premissas!$B$6</x:f>
        <x:v>330</x:v>
      </x:c>
      <x:c r="F162" s="19" t="n">
        <x:f>XLOOKUP(A162,Lotes!$A$4:$A$8,Lotes!$B$4:$B$8,0)</x:f>
        <x:v>0</x:v>
      </x:c>
      <x:c r="G162" s="23" t="n">
        <x:f>XLOOKUP(A162,Lotes!$A$4:$A$8,Lotes!$C$4:$C$8,0)</x:f>
        <x:v>7.75</x:v>
      </x:c>
      <x:c r="H162" s="23" t="n">
        <x:f>G162*Premissas!$B$5/Premissas!$B$4</x:f>
        <x:v>211.36363636363635</x:v>
      </x:c>
      <x:c r="I162" s="23" t="n">
        <x:f>D162*Premissas!$B$5/Premissas!$B$4</x:f>
        <x:v>300</x:v>
      </x:c>
      <x:c r="J162" s="23" t="n">
        <x:f>MAX(0,I162-H162)</x:f>
        <x:v>88.63636363636365</x:v>
      </x:c>
      <x:c r="K162" s="23" t="n">
        <x:f>SUMIFS('Cenários de GMD'!$C$4:$C$19,'Cenários de GMD'!$A$4:$A$19,B162,'Cenários de GMD'!$B$4:$B$19,C162)</x:f>
        <x:v>0.3</x:v>
      </x:c>
      <x:c r="L162" s="23" t="n">
        <x:f>IF(J162=0,0,J162/K162)</x:f>
        <x:v>295.45454545454555</x:v>
      </x:c>
      <x:c r="M162" s="23" t="n">
        <x:f>((H162+I162)/2)*SUMIFS('Cenários de GMD'!$D$4:$D$19,'Cenários de GMD'!$A$4:$A$19,B162,'Cenários de GMD'!$B$4:$B$19,C162)</x:f>
        <x:v>0.2556818181818182</x:v>
      </x:c>
      <x:c r="N162" s="23" t="n">
        <x:f>((H162+I162)/2)*SUMIFS('Cenários de GMD'!$E$4:$E$19,'Cenários de GMD'!$A$4:$A$19,B162,'Cenários de GMD'!$B$4:$B$19,C162)</x:f>
        <x:v>0</x:v>
      </x:c>
      <x:c r="O162" s="21" t="n">
        <x:f>M162*Insumos!$E$4+N162*Insumos!$E$5</x:f>
        <x:v>0.77625</x:v>
      </x:c>
      <x:c r="P162" s="21" t="n">
        <x:f>O162*Premissas!$B$7</x:f>
        <x:v>23.2875</x:v>
      </x:c>
      <x:c r="Q162" s="21" t="n">
        <x:f>O162*L162</x:f>
        <x:v>229.346590909091</x:v>
      </x:c>
      <x:c r="R162" s="21" t="n">
        <x:f>Premissas!$B$7*Premissas!$B$8*L162</x:f>
        <x:v>0</x:v>
      </x:c>
      <x:c r="S162" s="21" t="n">
        <x:f>D162*E162</x:f>
        <x:v>3630</x:v>
      </x:c>
      <x:c r="T162" s="21" t="n">
        <x:f>S162*F162</x:f>
        <x:v>0</x:v>
      </x:c>
      <x:c r="U162" s="21" t="n">
        <x:f>S162-XLOOKUP(A162,Lotes!$A$4:$A$8,Lotes!$D$4:$D$8,Premissas!$B$9)-Q162-R162</x:f>
        <x:v>1450.653409090909</x:v>
      </x:c>
      <x:c r="V162" s="21" t="n">
        <x:f>U162*F162</x:f>
        <x:v>0</x:v>
      </x:c>
      <x:c r="W162" s="20" t="n">
        <x:f>IF(S162=0,0,U162/S162)</x:f>
        <x:v>0.3996290383170548</x:v>
      </x:c>
      <x:c r="X162" s="21" t="n">
        <x:f>IF(D162-G162&lt;=0,0,Q162/(D162-G162))</x:f>
        <x:v>70.56818181818184</x:v>
      </x:c>
      <x:c r="Y162" s="20" t="n">
        <x:f>IFERROR(U162/(XLOOKUP(A162,Lotes!$A$4:$A$8,Lotes!$D$4:$D$8,Premissas!$B$9)+Q162+R162),0)</x:f>
        <x:v>0.6656368542489538</x:v>
      </x:c>
      <x:c r="Z162" s="20" t="n">
        <x:f>IF(L162=0,Y162,Y162/MAX(1,L162/Premissas!$B$7))</x:f>
        <x:v>0.0675877421237399</x:v>
      </x:c>
      <x:c r="AA162" s="19" t="str">
        <x:f>IF(L162=0,"Venda imediata",IF(L162&lt;=60,"Baixo",IF(L162&lt;=120,"Médio","Alto")))</x:f>
        <x:v>Alto</x:v>
      </x:c>
      <x:c r="AB162" s="19" t="str">
        <x:f>IF(U162&lt;0,"Não fazer",IF(AA162="Alto","Risco seca",IF(Z162&gt;=0.03,"Bom giro","Margem ok")))</x:f>
        <x:v>Risco seca</x:v>
      </x:c>
    </x:row>
    <x:row r="163">
      <x:c r="A163" s="19" t="str">
        <x:v>Grupo médio 7,75@</x:v>
      </x:c>
      <x:c r="B163" s="19" t="str">
        <x:v>Somente Fortis</x:v>
      </x:c>
      <x:c r="C163" s="19" t="str">
        <x:v>Pasto médio</x:v>
      </x:c>
      <x:c r="D163" s="19" t="n">
        <x:v>12</x:v>
      </x:c>
      <x:c r="E163" s="21" t="n">
        <x:f>Premissas!$B$6</x:f>
        <x:v>330</x:v>
      </x:c>
      <x:c r="F163" s="19" t="n">
        <x:f>XLOOKUP(A163,Lotes!$A$4:$A$8,Lotes!$B$4:$B$8,0)</x:f>
        <x:v>0</x:v>
      </x:c>
      <x:c r="G163" s="23" t="n">
        <x:f>XLOOKUP(A163,Lotes!$A$4:$A$8,Lotes!$C$4:$C$8,0)</x:f>
        <x:v>7.75</x:v>
      </x:c>
      <x:c r="H163" s="23" t="n">
        <x:f>G163*Premissas!$B$5/Premissas!$B$4</x:f>
        <x:v>211.36363636363635</x:v>
      </x:c>
      <x:c r="I163" s="23" t="n">
        <x:f>D163*Premissas!$B$5/Premissas!$B$4</x:f>
        <x:v>327.27272727272725</x:v>
      </x:c>
      <x:c r="J163" s="23" t="n">
        <x:f>MAX(0,I163-H163)</x:f>
        <x:v>115.9090909090909</x:v>
      </x:c>
      <x:c r="K163" s="23" t="n">
        <x:f>SUMIFS('Cenários de GMD'!$C$4:$C$19,'Cenários de GMD'!$A$4:$A$19,B163,'Cenários de GMD'!$B$4:$B$19,C163)</x:f>
        <x:v>0.3</x:v>
      </x:c>
      <x:c r="L163" s="23" t="n">
        <x:f>IF(J163=0,0,J163/K163)</x:f>
        <x:v>386.3636363636364</x:v>
      </x:c>
      <x:c r="M163" s="23" t="n">
        <x:f>((H163+I163)/2)*SUMIFS('Cenários de GMD'!$D$4:$D$19,'Cenários de GMD'!$A$4:$A$19,B163,'Cenários de GMD'!$B$4:$B$19,C163)</x:f>
        <x:v>0.26931818181818185</x:v>
      </x:c>
      <x:c r="N163" s="23" t="n">
        <x:f>((H163+I163)/2)*SUMIFS('Cenários de GMD'!$E$4:$E$19,'Cenários de GMD'!$A$4:$A$19,B163,'Cenários de GMD'!$B$4:$B$19,C163)</x:f>
        <x:v>0</x:v>
      </x:c>
      <x:c r="O163" s="21" t="n">
        <x:f>M163*Insumos!$E$4+N163*Insumos!$E$5</x:f>
        <x:v>0.8176500000000001</x:v>
      </x:c>
      <x:c r="P163" s="21" t="n">
        <x:f>O163*Premissas!$B$7</x:f>
        <x:v>24.529500000000002</x:v>
      </x:c>
      <x:c r="Q163" s="21" t="n">
        <x:f>O163*L163</x:f>
        <x:v>315.9102272727273</x:v>
      </x:c>
      <x:c r="R163" s="21" t="n">
        <x:f>Premissas!$B$7*Premissas!$B$8*L163</x:f>
        <x:v>0</x:v>
      </x:c>
      <x:c r="S163" s="21" t="n">
        <x:f>D163*E163</x:f>
        <x:v>3960</x:v>
      </x:c>
      <x:c r="T163" s="21" t="n">
        <x:f>S163*F163</x:f>
        <x:v>0</x:v>
      </x:c>
      <x:c r="U163" s="21" t="n">
        <x:f>S163-XLOOKUP(A163,Lotes!$A$4:$A$8,Lotes!$D$4:$D$8,Premissas!$B$9)-Q163-R163</x:f>
        <x:v>1694.0897727272727</x:v>
      </x:c>
      <x:c r="V163" s="21" t="n">
        <x:f>U163*F163</x:f>
        <x:v>0</x:v>
      </x:c>
      <x:c r="W163" s="20" t="n">
        <x:f>IF(S163=0,0,U163/S163)</x:f>
        <x:v>0.4278004476584022</x:v>
      </x:c>
      <x:c r="X163" s="21" t="n">
        <x:f>IF(D163-G163&lt;=0,0,Q163/(D163-G163))</x:f>
        <x:v>74.33181818181819</x:v>
      </x:c>
      <x:c r="Y163" s="20" t="n">
        <x:f>IFERROR(U163/(XLOOKUP(A163,Lotes!$A$4:$A$8,Lotes!$D$4:$D$8,Premissas!$B$9)+Q163+R163),0)</x:f>
        <x:v>0.7476420523359818</x:v>
      </x:c>
      <x:c r="Z163" s="20" t="n">
        <x:f>IF(L163=0,Y163,Y163/MAX(1,L163/Premissas!$B$7))</x:f>
        <x:v>0.05805220641667623</x:v>
      </x:c>
      <x:c r="AA163" s="19" t="str">
        <x:f>IF(L163=0,"Venda imediata",IF(L163&lt;=60,"Baixo",IF(L163&lt;=120,"Médio","Alto")))</x:f>
        <x:v>Alto</x:v>
      </x:c>
      <x:c r="AB163" s="19" t="str">
        <x:f>IF(U163&lt;0,"Não fazer",IF(AA163="Alto","Risco seca",IF(Z163&gt;=0.03,"Bom giro","Margem ok")))</x:f>
        <x:v>Risco seca</x:v>
      </x:c>
    </x:row>
    <x:row r="164">
      <x:c r="A164" s="19" t="str">
        <x:v>Grupo médio 7,75@</x:v>
      </x:c>
      <x:c r="B164" s="19" t="str">
        <x:v>Somente Fortis</x:v>
      </x:c>
      <x:c r="C164" s="19" t="str">
        <x:v>Pasto bom</x:v>
      </x:c>
      <x:c r="D164" s="19" t="n">
        <x:v>8.5</x:v>
      </x:c>
      <x:c r="E164" s="21" t="n">
        <x:f>Premissas!$B$6</x:f>
        <x:v>330</x:v>
      </x:c>
      <x:c r="F164" s="19" t="n">
        <x:f>XLOOKUP(A164,Lotes!$A$4:$A$8,Lotes!$B$4:$B$8,0)</x:f>
        <x:v>0</x:v>
      </x:c>
      <x:c r="G164" s="23" t="n">
        <x:f>XLOOKUP(A164,Lotes!$A$4:$A$8,Lotes!$C$4:$C$8,0)</x:f>
        <x:v>7.75</x:v>
      </x:c>
      <x:c r="H164" s="23" t="n">
        <x:f>G164*Premissas!$B$5/Premissas!$B$4</x:f>
        <x:v>211.36363636363635</x:v>
      </x:c>
      <x:c r="I164" s="23" t="n">
        <x:f>D164*Premissas!$B$5/Premissas!$B$4</x:f>
        <x:v>231.8181818181818</x:v>
      </x:c>
      <x:c r="J164" s="23" t="n">
        <x:f>MAX(0,I164-H164)</x:f>
        <x:v>20.454545454545467</x:v>
      </x:c>
      <x:c r="K164" s="23" t="n">
        <x:f>SUMIFS('Cenários de GMD'!$C$4:$C$19,'Cenários de GMD'!$A$4:$A$19,B164,'Cenários de GMD'!$B$4:$B$19,C164)</x:f>
        <x:v>0.5</x:v>
      </x:c>
      <x:c r="L164" s="23" t="n">
        <x:f>IF(J164=0,0,J164/K164)</x:f>
        <x:v>40.909090909090935</x:v>
      </x:c>
      <x:c r="M164" s="23" t="n">
        <x:f>((H164+I164)/2)*SUMIFS('Cenários de GMD'!$D$4:$D$19,'Cenários de GMD'!$A$4:$A$19,B164,'Cenários de GMD'!$B$4:$B$19,C164)</x:f>
        <x:v>0.22159090909090906</x:v>
      </x:c>
      <x:c r="N164" s="23" t="n">
        <x:f>((H164+I164)/2)*SUMIFS('Cenários de GMD'!$E$4:$E$19,'Cenários de GMD'!$A$4:$A$19,B164,'Cenários de GMD'!$B$4:$B$19,C164)</x:f>
        <x:v>0</x:v>
      </x:c>
      <x:c r="O164" s="21" t="n">
        <x:f>M164*Insumos!$E$4+N164*Insumos!$E$5</x:f>
        <x:v>0.67275</x:v>
      </x:c>
      <x:c r="P164" s="21" t="n">
        <x:f>O164*Premissas!$B$7</x:f>
        <x:v>20.182499999999997</x:v>
      </x:c>
      <x:c r="Q164" s="21" t="n">
        <x:f>O164*L164</x:f>
        <x:v>27.521590909090925</x:v>
      </x:c>
      <x:c r="R164" s="21" t="n">
        <x:f>Premissas!$B$7*Premissas!$B$8*L164</x:f>
        <x:v>0</x:v>
      </x:c>
      <x:c r="S164" s="21" t="n">
        <x:f>D164*E164</x:f>
        <x:v>2805</x:v>
      </x:c>
      <x:c r="T164" s="21" t="n">
        <x:f>S164*F164</x:f>
        <x:v>0</x:v>
      </x:c>
      <x:c r="U164" s="21" t="n">
        <x:f>S164-XLOOKUP(A164,Lotes!$A$4:$A$8,Lotes!$D$4:$D$8,Premissas!$B$9)-Q164-R164</x:f>
        <x:v>827.478409090909</x:v>
      </x:c>
      <x:c r="V164" s="21" t="n">
        <x:f>U164*F164</x:f>
        <x:v>0</x:v>
      </x:c>
      <x:c r="W164" s="20" t="n">
        <x:f>IF(S164=0,0,U164/S164)</x:f>
        <x:v>0.29500121536217794</x:v>
      </x:c>
      <x:c r="X164" s="21" t="n">
        <x:f>IF(D164-G164&lt;=0,0,Q164/(D164-G164))</x:f>
        <x:v>36.69545454545457</x:v>
      </x:c>
      <x:c r="Y164" s="20" t="n">
        <x:f>IFERROR(U164/(XLOOKUP(A164,Lotes!$A$4:$A$8,Lotes!$D$4:$D$8,Premissas!$B$9)+Q164+R164),0)</x:f>
        <x:v>0.41844216159000674</x:v>
      </x:c>
      <x:c r="Z164" s="20" t="n">
        <x:f>IF(L164=0,Y164,Y164/MAX(1,L164/Premissas!$B$7))</x:f>
        <x:v>0.30685758516600475</x:v>
      </x:c>
      <x:c r="AA164" s="19" t="str">
        <x:f>IF(L164=0,"Venda imediata",IF(L164&lt;=60,"Baixo",IF(L164&lt;=120,"Médio","Alto")))</x:f>
        <x:v>Baixo</x:v>
      </x:c>
      <x:c r="AB164" s="19" t="str">
        <x:f>IF(U164&lt;0,"Não fazer",IF(AA164="Alto","Risco seca",IF(Z164&gt;=0.03,"Bom giro","Margem ok")))</x:f>
        <x:v>Bom giro</x:v>
      </x:c>
    </x:row>
    <x:row r="165">
      <x:c r="A165" s="19" t="str">
        <x:v>Grupo médio 7,75@</x:v>
      </x:c>
      <x:c r="B165" s="19" t="str">
        <x:v>Somente Fortis</x:v>
      </x:c>
      <x:c r="C165" s="19" t="str">
        <x:v>Pasto bom</x:v>
      </x:c>
      <x:c r="D165" s="19" t="n">
        <x:v>9</x:v>
      </x:c>
      <x:c r="E165" s="21" t="n">
        <x:f>Premissas!$B$6</x:f>
        <x:v>330</x:v>
      </x:c>
      <x:c r="F165" s="19" t="n">
        <x:f>XLOOKUP(A165,Lotes!$A$4:$A$8,Lotes!$B$4:$B$8,0)</x:f>
        <x:v>0</x:v>
      </x:c>
      <x:c r="G165" s="23" t="n">
        <x:f>XLOOKUP(A165,Lotes!$A$4:$A$8,Lotes!$C$4:$C$8,0)</x:f>
        <x:v>7.75</x:v>
      </x:c>
      <x:c r="H165" s="23" t="n">
        <x:f>G165*Premissas!$B$5/Premissas!$B$4</x:f>
        <x:v>211.36363636363635</x:v>
      </x:c>
      <x:c r="I165" s="23" t="n">
        <x:f>D165*Premissas!$B$5/Premissas!$B$4</x:f>
        <x:v>245.45454545454544</x:v>
      </x:c>
      <x:c r="J165" s="23" t="n">
        <x:f>MAX(0,I165-H165)</x:f>
        <x:v>34.09090909090909</x:v>
      </x:c>
      <x:c r="K165" s="23" t="n">
        <x:f>SUMIFS('Cenários de GMD'!$C$4:$C$19,'Cenários de GMD'!$A$4:$A$19,B165,'Cenários de GMD'!$B$4:$B$19,C165)</x:f>
        <x:v>0.5</x:v>
      </x:c>
      <x:c r="L165" s="23" t="n">
        <x:f>IF(J165=0,0,J165/K165)</x:f>
        <x:v>68.18181818181819</x:v>
      </x:c>
      <x:c r="M165" s="23" t="n">
        <x:f>((H165+I165)/2)*SUMIFS('Cenários de GMD'!$D$4:$D$19,'Cenários de GMD'!$A$4:$A$19,B165,'Cenários de GMD'!$B$4:$B$19,C165)</x:f>
        <x:v>0.2284090909090909</x:v>
      </x:c>
      <x:c r="N165" s="23" t="n">
        <x:f>((H165+I165)/2)*SUMIFS('Cenários de GMD'!$E$4:$E$19,'Cenários de GMD'!$A$4:$A$19,B165,'Cenários de GMD'!$B$4:$B$19,C165)</x:f>
        <x:v>0</x:v>
      </x:c>
      <x:c r="O165" s="21" t="n">
        <x:f>M165*Insumos!$E$4+N165*Insumos!$E$5</x:f>
        <x:v>0.69345</x:v>
      </x:c>
      <x:c r="P165" s="21" t="n">
        <x:f>O165*Premissas!$B$7</x:f>
        <x:v>20.8035</x:v>
      </x:c>
      <x:c r="Q165" s="21" t="n">
        <x:f>O165*L165</x:f>
        <x:v>47.280681818181826</x:v>
      </x:c>
      <x:c r="R165" s="21" t="n">
        <x:f>Premissas!$B$7*Premissas!$B$8*L165</x:f>
        <x:v>0</x:v>
      </x:c>
      <x:c r="S165" s="21" t="n">
        <x:f>D165*E165</x:f>
        <x:v>2970</x:v>
      </x:c>
      <x:c r="T165" s="21" t="n">
        <x:f>S165*F165</x:f>
        <x:v>0</x:v>
      </x:c>
      <x:c r="U165" s="21" t="n">
        <x:f>S165-XLOOKUP(A165,Lotes!$A$4:$A$8,Lotes!$D$4:$D$8,Premissas!$B$9)-Q165-R165</x:f>
        <x:v>972.7193181818182</x:v>
      </x:c>
      <x:c r="V165" s="21" t="n">
        <x:f>U165*F165</x:f>
        <x:v>0</x:v>
      </x:c>
      <x:c r="W165" s="20" t="n">
        <x:f>IF(S165=0,0,U165/S165)</x:f>
        <x:v>0.32751492194674015</x:v>
      </x:c>
      <x:c r="X165" s="21" t="n">
        <x:f>IF(D165-G165&lt;=0,0,Q165/(D165-G165))</x:f>
        <x:v>37.82454545454546</x:v>
      </x:c>
      <x:c r="Y165" s="20" t="n">
        <x:f>IFERROR(U165/(XLOOKUP(A165,Lotes!$A$4:$A$8,Lotes!$D$4:$D$8,Premissas!$B$9)+Q165+R165),0)</x:f>
        <x:v>0.48702184276689836</x:v>
      </x:c>
      <x:c r="Z165" s="20" t="n">
        <x:f>IF(L165=0,Y165,Y165/MAX(1,L165/Premissas!$B$7))</x:f>
        <x:v>0.21428961081743525</x:v>
      </x:c>
      <x:c r="AA165" s="19" t="str">
        <x:f>IF(L165=0,"Venda imediata",IF(L165&lt;=60,"Baixo",IF(L165&lt;=120,"Médio","Alto")))</x:f>
        <x:v>Médio</x:v>
      </x:c>
      <x:c r="AB165" s="19" t="str">
        <x:f>IF(U165&lt;0,"Não fazer",IF(AA165="Alto","Risco seca",IF(Z165&gt;=0.03,"Bom giro","Margem ok")))</x:f>
        <x:v>Bom giro</x:v>
      </x:c>
    </x:row>
    <x:row r="166">
      <x:c r="A166" s="19" t="str">
        <x:v>Grupo médio 7,75@</x:v>
      </x:c>
      <x:c r="B166" s="19" t="str">
        <x:v>Somente Fortis</x:v>
      </x:c>
      <x:c r="C166" s="19" t="str">
        <x:v>Pasto bom</x:v>
      </x:c>
      <x:c r="D166" s="19" t="n">
        <x:v>10.5</x:v>
      </x:c>
      <x:c r="E166" s="21" t="n">
        <x:f>Premissas!$B$6</x:f>
        <x:v>330</x:v>
      </x:c>
      <x:c r="F166" s="19" t="n">
        <x:f>XLOOKUP(A166,Lotes!$A$4:$A$8,Lotes!$B$4:$B$8,0)</x:f>
        <x:v>0</x:v>
      </x:c>
      <x:c r="G166" s="23" t="n">
        <x:f>XLOOKUP(A166,Lotes!$A$4:$A$8,Lotes!$C$4:$C$8,0)</x:f>
        <x:v>7.75</x:v>
      </x:c>
      <x:c r="H166" s="23" t="n">
        <x:f>G166*Premissas!$B$5/Premissas!$B$4</x:f>
        <x:v>211.36363636363635</x:v>
      </x:c>
      <x:c r="I166" s="23" t="n">
        <x:f>D166*Premissas!$B$5/Premissas!$B$4</x:f>
        <x:v>286.3636363636363</x:v>
      </x:c>
      <x:c r="J166" s="23" t="n">
        <x:f>MAX(0,I166-H166)</x:f>
        <x:v>74.99999999999997</x:v>
      </x:c>
      <x:c r="K166" s="23" t="n">
        <x:f>SUMIFS('Cenários de GMD'!$C$4:$C$19,'Cenários de GMD'!$A$4:$A$19,B166,'Cenários de GMD'!$B$4:$B$19,C166)</x:f>
        <x:v>0.5</x:v>
      </x:c>
      <x:c r="L166" s="23" t="n">
        <x:f>IF(J166=0,0,J166/K166)</x:f>
        <x:v>149.99999999999994</x:v>
      </x:c>
      <x:c r="M166" s="23" t="n">
        <x:f>((H166+I166)/2)*SUMIFS('Cenários de GMD'!$D$4:$D$19,'Cenários de GMD'!$A$4:$A$19,B166,'Cenários de GMD'!$B$4:$B$19,C166)</x:f>
        <x:v>0.24886363636363631</x:v>
      </x:c>
      <x:c r="N166" s="23" t="n">
        <x:f>((H166+I166)/2)*SUMIFS('Cenários de GMD'!$E$4:$E$19,'Cenários de GMD'!$A$4:$A$19,B166,'Cenários de GMD'!$B$4:$B$19,C166)</x:f>
        <x:v>0</x:v>
      </x:c>
      <x:c r="O166" s="21" t="n">
        <x:f>M166*Insumos!$E$4+N166*Insumos!$E$5</x:f>
        <x:v>0.7555499999999998</x:v>
      </x:c>
      <x:c r="P166" s="21" t="n">
        <x:f>O166*Premissas!$B$7</x:f>
        <x:v>22.666499999999996</x:v>
      </x:c>
      <x:c r="Q166" s="21" t="n">
        <x:f>O166*L166</x:f>
        <x:v>113.33249999999992</x:v>
      </x:c>
      <x:c r="R166" s="21" t="n">
        <x:f>Premissas!$B$7*Premissas!$B$8*L166</x:f>
        <x:v>0</x:v>
      </x:c>
      <x:c r="S166" s="21" t="n">
        <x:f>D166*E166</x:f>
        <x:v>3465</x:v>
      </x:c>
      <x:c r="T166" s="21" t="n">
        <x:f>S166*F166</x:f>
        <x:v>0</x:v>
      </x:c>
      <x:c r="U166" s="21" t="n">
        <x:f>S166-XLOOKUP(A166,Lotes!$A$4:$A$8,Lotes!$D$4:$D$8,Premissas!$B$9)-Q166-R166</x:f>
        <x:v>1401.6675</x:v>
      </x:c>
      <x:c r="V166" s="21" t="n">
        <x:f>U166*F166</x:f>
        <x:v>0</x:v>
      </x:c>
      <x:c r="W166" s="20" t="n">
        <x:f>IF(S166=0,0,U166/S166)</x:f>
        <x:v>0.404521645021645</x:v>
      </x:c>
      <x:c r="X166" s="21" t="n">
        <x:f>IF(D166-G166&lt;=0,0,Q166/(D166-G166))</x:f>
        <x:v>41.21181818181815</x:v>
      </x:c>
      <x:c r="Y166" s="20" t="n">
        <x:f>IFERROR(U166/(XLOOKUP(A166,Lotes!$A$4:$A$8,Lotes!$D$4:$D$8,Premissas!$B$9)+Q166+R166),0)</x:f>
        <x:v>0.679322164508144</x:v>
      </x:c>
      <x:c r="Z166" s="20" t="n">
        <x:f>IF(L166=0,Y166,Y166/MAX(1,L166/Premissas!$B$7))</x:f>
        <x:v>0.13586443290162883</x:v>
      </x:c>
      <x:c r="AA166" s="19" t="str">
        <x:f>IF(L166=0,"Venda imediata",IF(L166&lt;=60,"Baixo",IF(L166&lt;=120,"Médio","Alto")))</x:f>
        <x:v>Alto</x:v>
      </x:c>
      <x:c r="AB166" s="19" t="str">
        <x:f>IF(U166&lt;0,"Não fazer",IF(AA166="Alto","Risco seca",IF(Z166&gt;=0.03,"Bom giro","Margem ok")))</x:f>
        <x:v>Risco seca</x:v>
      </x:c>
    </x:row>
    <x:row r="167">
      <x:c r="A167" s="19" t="str">
        <x:v>Grupo médio 7,75@</x:v>
      </x:c>
      <x:c r="B167" s="19" t="str">
        <x:v>Somente Fortis</x:v>
      </x:c>
      <x:c r="C167" s="19" t="str">
        <x:v>Pasto bom</x:v>
      </x:c>
      <x:c r="D167" s="19" t="n">
        <x:v>11</x:v>
      </x:c>
      <x:c r="E167" s="21" t="n">
        <x:f>Premissas!$B$6</x:f>
        <x:v>330</x:v>
      </x:c>
      <x:c r="F167" s="19" t="n">
        <x:f>XLOOKUP(A167,Lotes!$A$4:$A$8,Lotes!$B$4:$B$8,0)</x:f>
        <x:v>0</x:v>
      </x:c>
      <x:c r="G167" s="23" t="n">
        <x:f>XLOOKUP(A167,Lotes!$A$4:$A$8,Lotes!$C$4:$C$8,0)</x:f>
        <x:v>7.75</x:v>
      </x:c>
      <x:c r="H167" s="23" t="n">
        <x:f>G167*Premissas!$B$5/Premissas!$B$4</x:f>
        <x:v>211.36363636363635</x:v>
      </x:c>
      <x:c r="I167" s="23" t="n">
        <x:f>D167*Premissas!$B$5/Premissas!$B$4</x:f>
        <x:v>300</x:v>
      </x:c>
      <x:c r="J167" s="23" t="n">
        <x:f>MAX(0,I167-H167)</x:f>
        <x:v>88.63636363636365</x:v>
      </x:c>
      <x:c r="K167" s="23" t="n">
        <x:f>SUMIFS('Cenários de GMD'!$C$4:$C$19,'Cenários de GMD'!$A$4:$A$19,B167,'Cenários de GMD'!$B$4:$B$19,C167)</x:f>
        <x:v>0.5</x:v>
      </x:c>
      <x:c r="L167" s="23" t="n">
        <x:f>IF(J167=0,0,J167/K167)</x:f>
        <x:v>177.2727272727273</x:v>
      </x:c>
      <x:c r="M167" s="23" t="n">
        <x:f>((H167+I167)/2)*SUMIFS('Cenários de GMD'!$D$4:$D$19,'Cenários de GMD'!$A$4:$A$19,B167,'Cenários de GMD'!$B$4:$B$19,C167)</x:f>
        <x:v>0.2556818181818182</x:v>
      </x:c>
      <x:c r="N167" s="23" t="n">
        <x:f>((H167+I167)/2)*SUMIFS('Cenários de GMD'!$E$4:$E$19,'Cenários de GMD'!$A$4:$A$19,B167,'Cenários de GMD'!$B$4:$B$19,C167)</x:f>
        <x:v>0</x:v>
      </x:c>
      <x:c r="O167" s="21" t="n">
        <x:f>M167*Insumos!$E$4+N167*Insumos!$E$5</x:f>
        <x:v>0.77625</x:v>
      </x:c>
      <x:c r="P167" s="21" t="n">
        <x:f>O167*Premissas!$B$7</x:f>
        <x:v>23.2875</x:v>
      </x:c>
      <x:c r="Q167" s="21" t="n">
        <x:f>O167*L167</x:f>
        <x:v>137.60795454545456</x:v>
      </x:c>
      <x:c r="R167" s="21" t="n">
        <x:f>Premissas!$B$7*Premissas!$B$8*L167</x:f>
        <x:v>0</x:v>
      </x:c>
      <x:c r="S167" s="21" t="n">
        <x:f>D167*E167</x:f>
        <x:v>3630</x:v>
      </x:c>
      <x:c r="T167" s="21" t="n">
        <x:f>S167*F167</x:f>
        <x:v>0</x:v>
      </x:c>
      <x:c r="U167" s="21" t="n">
        <x:f>S167-XLOOKUP(A167,Lotes!$A$4:$A$8,Lotes!$D$4:$D$8,Premissas!$B$9)-Q167-R167</x:f>
        <x:v>1542.3920454545455</x:v>
      </x:c>
      <x:c r="V167" s="21" t="n">
        <x:f>U167*F167</x:f>
        <x:v>0</x:v>
      </x:c>
      <x:c r="W167" s="20" t="n">
        <x:f>IF(S167=0,0,U167/S167)</x:f>
        <x:v>0.4249013899323817</x:v>
      </x:c>
      <x:c r="X167" s="21" t="n">
        <x:f>IF(D167-G167&lt;=0,0,Q167/(D167-G167))</x:f>
        <x:v>42.34090909090909</x:v>
      </x:c>
      <x:c r="Y167" s="20" t="n">
        <x:f>IFERROR(U167/(XLOOKUP(A167,Lotes!$A$4:$A$8,Lotes!$D$4:$D$8,Premissas!$B$9)+Q167+R167),0)</x:f>
        <x:v>0.7388322324104089</x:v>
      </x:c>
      <x:c r="Z167" s="20" t="n">
        <x:f>IF(L167=0,Y167,Y167/MAX(1,L167/Premissas!$B$7))</x:f>
        <x:v>0.12503314702329993</x:v>
      </x:c>
      <x:c r="AA167" s="19" t="str">
        <x:f>IF(L167=0,"Venda imediata",IF(L167&lt;=60,"Baixo",IF(L167&lt;=120,"Médio","Alto")))</x:f>
        <x:v>Alto</x:v>
      </x:c>
      <x:c r="AB167" s="19" t="str">
        <x:f>IF(U167&lt;0,"Não fazer",IF(AA167="Alto","Risco seca",IF(Z167&gt;=0.03,"Bom giro","Margem ok")))</x:f>
        <x:v>Risco seca</x:v>
      </x:c>
    </x:row>
    <x:row r="168">
      <x:c r="A168" s="19" t="str">
        <x:v>Grupo médio 7,75@</x:v>
      </x:c>
      <x:c r="B168" s="19" t="str">
        <x:v>Somente Fortis</x:v>
      </x:c>
      <x:c r="C168" s="19" t="str">
        <x:v>Pasto bom</x:v>
      </x:c>
      <x:c r="D168" s="19" t="n">
        <x:v>12</x:v>
      </x:c>
      <x:c r="E168" s="21" t="n">
        <x:f>Premissas!$B$6</x:f>
        <x:v>330</x:v>
      </x:c>
      <x:c r="F168" s="19" t="n">
        <x:f>XLOOKUP(A168,Lotes!$A$4:$A$8,Lotes!$B$4:$B$8,0)</x:f>
        <x:v>0</x:v>
      </x:c>
      <x:c r="G168" s="23" t="n">
        <x:f>XLOOKUP(A168,Lotes!$A$4:$A$8,Lotes!$C$4:$C$8,0)</x:f>
        <x:v>7.75</x:v>
      </x:c>
      <x:c r="H168" s="23" t="n">
        <x:f>G168*Premissas!$B$5/Premissas!$B$4</x:f>
        <x:v>211.36363636363635</x:v>
      </x:c>
      <x:c r="I168" s="23" t="n">
        <x:f>D168*Premissas!$B$5/Premissas!$B$4</x:f>
        <x:v>327.27272727272725</x:v>
      </x:c>
      <x:c r="J168" s="23" t="n">
        <x:f>MAX(0,I168-H168)</x:f>
        <x:v>115.9090909090909</x:v>
      </x:c>
      <x:c r="K168" s="23" t="n">
        <x:f>SUMIFS('Cenários de GMD'!$C$4:$C$19,'Cenários de GMD'!$A$4:$A$19,B168,'Cenários de GMD'!$B$4:$B$19,C168)</x:f>
        <x:v>0.5</x:v>
      </x:c>
      <x:c r="L168" s="23" t="n">
        <x:f>IF(J168=0,0,J168/K168)</x:f>
        <x:v>231.8181818181818</x:v>
      </x:c>
      <x:c r="M168" s="23" t="n">
        <x:f>((H168+I168)/2)*SUMIFS('Cenários de GMD'!$D$4:$D$19,'Cenários de GMD'!$A$4:$A$19,B168,'Cenários de GMD'!$B$4:$B$19,C168)</x:f>
        <x:v>0.26931818181818185</x:v>
      </x:c>
      <x:c r="N168" s="23" t="n">
        <x:f>((H168+I168)/2)*SUMIFS('Cenários de GMD'!$E$4:$E$19,'Cenários de GMD'!$A$4:$A$19,B168,'Cenários de GMD'!$B$4:$B$19,C168)</x:f>
        <x:v>0</x:v>
      </x:c>
      <x:c r="O168" s="21" t="n">
        <x:f>M168*Insumos!$E$4+N168*Insumos!$E$5</x:f>
        <x:v>0.8176500000000001</x:v>
      </x:c>
      <x:c r="P168" s="21" t="n">
        <x:f>O168*Premissas!$B$7</x:f>
        <x:v>24.529500000000002</x:v>
      </x:c>
      <x:c r="Q168" s="21" t="n">
        <x:f>O168*L168</x:f>
        <x:v>189.54613636363638</x:v>
      </x:c>
      <x:c r="R168" s="21" t="n">
        <x:f>Premissas!$B$7*Premissas!$B$8*L168</x:f>
        <x:v>0</x:v>
      </x:c>
      <x:c r="S168" s="21" t="n">
        <x:f>D168*E168</x:f>
        <x:v>3960</x:v>
      </x:c>
      <x:c r="T168" s="21" t="n">
        <x:f>S168*F168</x:f>
        <x:v>0</x:v>
      </x:c>
      <x:c r="U168" s="21" t="n">
        <x:f>S168-XLOOKUP(A168,Lotes!$A$4:$A$8,Lotes!$D$4:$D$8,Premissas!$B$9)-Q168-R168</x:f>
        <x:v>1820.4538636363636</x:v>
      </x:c>
      <x:c r="V168" s="21" t="n">
        <x:f>U168*F168</x:f>
        <x:v>0</x:v>
      </x:c>
      <x:c r="W168" s="20" t="n">
        <x:f>IF(S168=0,0,U168/S168)</x:f>
        <x:v>0.45971057162534434</x:v>
      </x:c>
      <x:c r="X168" s="21" t="n">
        <x:f>IF(D168-G168&lt;=0,0,Q168/(D168-G168))</x:f>
        <x:v>44.59909090909091</x:v>
      </x:c>
      <x:c r="Y168" s="20" t="n">
        <x:f>IFERROR(U168/(XLOOKUP(A168,Lotes!$A$4:$A$8,Lotes!$D$4:$D$8,Premissas!$B$9)+Q168+R168),0)</x:f>
        <x:v>0.8508598308286072</x:v>
      </x:c>
      <x:c r="Z168" s="20" t="n">
        <x:f>IF(L168=0,Y168,Y168/MAX(1,L168/Premissas!$B$7))</x:f>
        <x:v>0.11011127222487857</x:v>
      </x:c>
      <x:c r="AA168" s="19" t="str">
        <x:f>IF(L168=0,"Venda imediata",IF(L168&lt;=60,"Baixo",IF(L168&lt;=120,"Médio","Alto")))</x:f>
        <x:v>Alto</x:v>
      </x:c>
      <x:c r="AB168" s="19" t="str">
        <x:f>IF(U168&lt;0,"Não fazer",IF(AA168="Alto","Risco seca",IF(Z168&gt;=0.03,"Bom giro","Margem ok")))</x:f>
        <x:v>Risco seca</x:v>
      </x:c>
    </x:row>
    <x:row r="169">
      <x:c r="A169" s="19" t="str">
        <x:v>Grupo médio 7,75@</x:v>
      </x:c>
      <x:c r="B169" s="19" t="str">
        <x:v>Econômica</x:v>
      </x:c>
      <x:c r="C169" s="19" t="str">
        <x:v>Conservador</x:v>
      </x:c>
      <x:c r="D169" s="19" t="n">
        <x:v>8.5</x:v>
      </x:c>
      <x:c r="E169" s="21" t="n">
        <x:f>Premissas!$B$6</x:f>
        <x:v>330</x:v>
      </x:c>
      <x:c r="F169" s="19" t="n">
        <x:f>XLOOKUP(A169,Lotes!$A$4:$A$8,Lotes!$B$4:$B$8,0)</x:f>
        <x:v>0</x:v>
      </x:c>
      <x:c r="G169" s="23" t="n">
        <x:f>XLOOKUP(A169,Lotes!$A$4:$A$8,Lotes!$C$4:$C$8,0)</x:f>
        <x:v>7.75</x:v>
      </x:c>
      <x:c r="H169" s="23" t="n">
        <x:f>G169*Premissas!$B$5/Premissas!$B$4</x:f>
        <x:v>211.36363636363635</x:v>
      </x:c>
      <x:c r="I169" s="23" t="n">
        <x:f>D169*Premissas!$B$5/Premissas!$B$4</x:f>
        <x:v>231.8181818181818</x:v>
      </x:c>
      <x:c r="J169" s="23" t="n">
        <x:f>MAX(0,I169-H169)</x:f>
        <x:v>20.454545454545467</x:v>
      </x:c>
      <x:c r="K169" s="23" t="n">
        <x:f>SUMIFS('Cenários de GMD'!$C$4:$C$19,'Cenários de GMD'!$A$4:$A$19,B169,'Cenários de GMD'!$B$4:$B$19,C169)</x:f>
        <x:v>0.4</x:v>
      </x:c>
      <x:c r="L169" s="23" t="n">
        <x:f>IF(J169=0,0,J169/K169)</x:f>
        <x:v>51.13636363636367</x:v>
      </x:c>
      <x:c r="M169" s="23" t="n">
        <x:f>((H169+I169)/2)*SUMIFS('Cenários de GMD'!$D$4:$D$19,'Cenários de GMD'!$A$4:$A$19,B169,'Cenários de GMD'!$B$4:$B$19,C169)</x:f>
        <x:v>0.22159090909090906</x:v>
      </x:c>
      <x:c r="N169" s="23" t="n">
        <x:f>((H169+I169)/2)*SUMIFS('Cenários de GMD'!$E$4:$E$19,'Cenários de GMD'!$A$4:$A$19,B169,'Cenários de GMD'!$B$4:$B$19,C169)</x:f>
        <x:v>0.6647727272727272</x:v>
      </x:c>
      <x:c r="O169" s="21" t="n">
        <x:f>M169*Insumos!$E$4+N169*Insumos!$E$5</x:f>
        <x:v>1.991215909090909</x:v>
      </x:c>
      <x:c r="P169" s="21" t="n">
        <x:f>O169*Premissas!$B$7</x:f>
        <x:v>59.73647727272727</x:v>
      </x:c>
      <x:c r="Q169" s="21" t="n">
        <x:f>O169*L169</x:f>
        <x:v>101.82354080578519</x:v>
      </x:c>
      <x:c r="R169" s="21" t="n">
        <x:f>Premissas!$B$7*Premissas!$B$8*L169</x:f>
        <x:v>0</x:v>
      </x:c>
      <x:c r="S169" s="21" t="n">
        <x:f>D169*E169</x:f>
        <x:v>2805</x:v>
      </x:c>
      <x:c r="T169" s="21" t="n">
        <x:f>S169*F169</x:f>
        <x:v>0</x:v>
      </x:c>
      <x:c r="U169" s="21" t="n">
        <x:f>S169-XLOOKUP(A169,Lotes!$A$4:$A$8,Lotes!$D$4:$D$8,Premissas!$B$9)-Q169-R169</x:f>
        <x:v>753.1764591942148</x:v>
      </x:c>
      <x:c r="V169" s="21" t="n">
        <x:f>U169*F169</x:f>
        <x:v>0</x:v>
      </x:c>
      <x:c r="W169" s="20" t="n">
        <x:f>IF(S169=0,0,U169/S169)</x:f>
        <x:v>0.2685121066646042</x:v>
      </x:c>
      <x:c r="X169" s="21" t="n">
        <x:f>IF(D169-G169&lt;=0,0,Q169/(D169-G169))</x:f>
        <x:v>135.76472107438025</x:v>
      </x:c>
      <x:c r="Y169" s="20" t="n">
        <x:f>IFERROR(U169/(XLOOKUP(A169,Lotes!$A$4:$A$8,Lotes!$D$4:$D$8,Premissas!$B$9)+Q169+R169),0)</x:f>
        <x:v>0.36707662438575483</x:v>
      </x:c>
      <x:c r="Z169" s="20" t="n">
        <x:f>IF(L169=0,Y169,Y169/MAX(1,L169/Premissas!$B$7))</x:f>
        <x:v>0.2153516196396427</x:v>
      </x:c>
      <x:c r="AA169" s="19" t="str">
        <x:f>IF(L169=0,"Venda imediata",IF(L169&lt;=60,"Baixo",IF(L169&lt;=120,"Médio","Alto")))</x:f>
        <x:v>Baixo</x:v>
      </x:c>
      <x:c r="AB169" s="19" t="str">
        <x:f>IF(U169&lt;0,"Não fazer",IF(AA169="Alto","Risco seca",IF(Z169&gt;=0.03,"Bom giro","Margem ok")))</x:f>
        <x:v>Bom giro</x:v>
      </x:c>
    </x:row>
    <x:row r="170">
      <x:c r="A170" s="19" t="str">
        <x:v>Grupo médio 7,75@</x:v>
      </x:c>
      <x:c r="B170" s="19" t="str">
        <x:v>Econômica</x:v>
      </x:c>
      <x:c r="C170" s="19" t="str">
        <x:v>Conservador</x:v>
      </x:c>
      <x:c r="D170" s="19" t="n">
        <x:v>9</x:v>
      </x:c>
      <x:c r="E170" s="21" t="n">
        <x:f>Premissas!$B$6</x:f>
        <x:v>330</x:v>
      </x:c>
      <x:c r="F170" s="19" t="n">
        <x:f>XLOOKUP(A170,Lotes!$A$4:$A$8,Lotes!$B$4:$B$8,0)</x:f>
        <x:v>0</x:v>
      </x:c>
      <x:c r="G170" s="23" t="n">
        <x:f>XLOOKUP(A170,Lotes!$A$4:$A$8,Lotes!$C$4:$C$8,0)</x:f>
        <x:v>7.75</x:v>
      </x:c>
      <x:c r="H170" s="23" t="n">
        <x:f>G170*Premissas!$B$5/Premissas!$B$4</x:f>
        <x:v>211.36363636363635</x:v>
      </x:c>
      <x:c r="I170" s="23" t="n">
        <x:f>D170*Premissas!$B$5/Premissas!$B$4</x:f>
        <x:v>245.45454545454544</x:v>
      </x:c>
      <x:c r="J170" s="23" t="n">
        <x:f>MAX(0,I170-H170)</x:f>
        <x:v>34.09090909090909</x:v>
      </x:c>
      <x:c r="K170" s="23" t="n">
        <x:f>SUMIFS('Cenários de GMD'!$C$4:$C$19,'Cenários de GMD'!$A$4:$A$19,B170,'Cenários de GMD'!$B$4:$B$19,C170)</x:f>
        <x:v>0.4</x:v>
      </x:c>
      <x:c r="L170" s="23" t="n">
        <x:f>IF(J170=0,0,J170/K170)</x:f>
        <x:v>85.22727272727273</x:v>
      </x:c>
      <x:c r="M170" s="23" t="n">
        <x:f>((H170+I170)/2)*SUMIFS('Cenários de GMD'!$D$4:$D$19,'Cenários de GMD'!$A$4:$A$19,B170,'Cenários de GMD'!$B$4:$B$19,C170)</x:f>
        <x:v>0.2284090909090909</x:v>
      </x:c>
      <x:c r="N170" s="23" t="n">
        <x:f>((H170+I170)/2)*SUMIFS('Cenários de GMD'!$E$4:$E$19,'Cenários de GMD'!$A$4:$A$19,B170,'Cenários de GMD'!$B$4:$B$19,C170)</x:f>
        <x:v>0.6852272727272727</x:v>
      </x:c>
      <x:c r="O170" s="21" t="n">
        <x:f>M170*Insumos!$E$4+N170*Insumos!$E$5</x:f>
        <x:v>2.0524840909090907</x:v>
      </x:c>
      <x:c r="P170" s="21" t="n">
        <x:f>O170*Premissas!$B$7</x:f>
        <x:v>61.57452272727272</x:v>
      </x:c>
      <x:c r="Q170" s="21" t="n">
        <x:f>O170*L170</x:f>
        <x:v>174.9276213842975</x:v>
      </x:c>
      <x:c r="R170" s="21" t="n">
        <x:f>Premissas!$B$7*Premissas!$B$8*L170</x:f>
        <x:v>0</x:v>
      </x:c>
      <x:c r="S170" s="21" t="n">
        <x:f>D170*E170</x:f>
        <x:v>2970</x:v>
      </x:c>
      <x:c r="T170" s="21" t="n">
        <x:f>S170*F170</x:f>
        <x:v>0</x:v>
      </x:c>
      <x:c r="U170" s="21" t="n">
        <x:f>S170-XLOOKUP(A170,Lotes!$A$4:$A$8,Lotes!$D$4:$D$8,Premissas!$B$9)-Q170-R170</x:f>
        <x:v>845.0723786157025</x:v>
      </x:c>
      <x:c r="V170" s="21" t="n">
        <x:f>U170*F170</x:f>
        <x:v>0</x:v>
      </x:c>
      <x:c r="W170" s="20" t="n">
        <x:f>IF(S170=0,0,U170/S170)</x:f>
        <x:v>0.28453615441606145</x:v>
      </x:c>
      <x:c r="X170" s="21" t="n">
        <x:f>IF(D170-G170&lt;=0,0,Q170/(D170-G170))</x:f>
        <x:v>139.942097107438</x:v>
      </x:c>
      <x:c r="Y170" s="20" t="n">
        <x:f>IFERROR(U170/(XLOOKUP(A170,Lotes!$A$4:$A$8,Lotes!$D$4:$D$8,Premissas!$B$9)+Q170+R170),0)</x:f>
        <x:v>0.39769466503766127</x:v>
      </x:c>
      <x:c r="Z170" s="20" t="n">
        <x:f>IF(L170=0,Y170,Y170/MAX(1,L170/Premissas!$B$7))</x:f>
        <x:v>0.13998852209325674</x:v>
      </x:c>
      <x:c r="AA170" s="19" t="str">
        <x:f>IF(L170=0,"Venda imediata",IF(L170&lt;=60,"Baixo",IF(L170&lt;=120,"Médio","Alto")))</x:f>
        <x:v>Médio</x:v>
      </x:c>
      <x:c r="AB170" s="19" t="str">
        <x:f>IF(U170&lt;0,"Não fazer",IF(AA170="Alto","Risco seca",IF(Z170&gt;=0.03,"Bom giro","Margem ok")))</x:f>
        <x:v>Bom giro</x:v>
      </x:c>
    </x:row>
    <x:row r="171">
      <x:c r="A171" s="19" t="str">
        <x:v>Grupo médio 7,75@</x:v>
      </x:c>
      <x:c r="B171" s="19" t="str">
        <x:v>Econômica</x:v>
      </x:c>
      <x:c r="C171" s="19" t="str">
        <x:v>Conservador</x:v>
      </x:c>
      <x:c r="D171" s="19" t="n">
        <x:v>10.5</x:v>
      </x:c>
      <x:c r="E171" s="21" t="n">
        <x:f>Premissas!$B$6</x:f>
        <x:v>330</x:v>
      </x:c>
      <x:c r="F171" s="19" t="n">
        <x:f>XLOOKUP(A171,Lotes!$A$4:$A$8,Lotes!$B$4:$B$8,0)</x:f>
        <x:v>0</x:v>
      </x:c>
      <x:c r="G171" s="23" t="n">
        <x:f>XLOOKUP(A171,Lotes!$A$4:$A$8,Lotes!$C$4:$C$8,0)</x:f>
        <x:v>7.75</x:v>
      </x:c>
      <x:c r="H171" s="23" t="n">
        <x:f>G171*Premissas!$B$5/Premissas!$B$4</x:f>
        <x:v>211.36363636363635</x:v>
      </x:c>
      <x:c r="I171" s="23" t="n">
        <x:f>D171*Premissas!$B$5/Premissas!$B$4</x:f>
        <x:v>286.3636363636363</x:v>
      </x:c>
      <x:c r="J171" s="23" t="n">
        <x:f>MAX(0,I171-H171)</x:f>
        <x:v>74.99999999999997</x:v>
      </x:c>
      <x:c r="K171" s="23" t="n">
        <x:f>SUMIFS('Cenários de GMD'!$C$4:$C$19,'Cenários de GMD'!$A$4:$A$19,B171,'Cenários de GMD'!$B$4:$B$19,C171)</x:f>
        <x:v>0.4</x:v>
      </x:c>
      <x:c r="L171" s="23" t="n">
        <x:f>IF(J171=0,0,J171/K171)</x:f>
        <x:v>187.49999999999991</x:v>
      </x:c>
      <x:c r="M171" s="23" t="n">
        <x:f>((H171+I171)/2)*SUMIFS('Cenários de GMD'!$D$4:$D$19,'Cenários de GMD'!$A$4:$A$19,B171,'Cenários de GMD'!$B$4:$B$19,C171)</x:f>
        <x:v>0.24886363636363631</x:v>
      </x:c>
      <x:c r="N171" s="23" t="n">
        <x:f>((H171+I171)/2)*SUMIFS('Cenários de GMD'!$E$4:$E$19,'Cenários de GMD'!$A$4:$A$19,B171,'Cenários de GMD'!$B$4:$B$19,C171)</x:f>
        <x:v>0.746590909090909</x:v>
      </x:c>
      <x:c r="O171" s="21" t="n">
        <x:f>M171*Insumos!$E$4+N171*Insumos!$E$5</x:f>
        <x:v>2.236288636363636</x:v>
      </x:c>
      <x:c r="P171" s="21" t="n">
        <x:f>O171*Premissas!$B$7</x:f>
        <x:v>67.08865909090908</x:v>
      </x:c>
      <x:c r="Q171" s="21" t="n">
        <x:f>O171*L171</x:f>
        <x:v>419.30411931818156</x:v>
      </x:c>
      <x:c r="R171" s="21" t="n">
        <x:f>Premissas!$B$7*Premissas!$B$8*L171</x:f>
        <x:v>0</x:v>
      </x:c>
      <x:c r="S171" s="21" t="n">
        <x:f>D171*E171</x:f>
        <x:v>3465</x:v>
      </x:c>
      <x:c r="T171" s="21" t="n">
        <x:f>S171*F171</x:f>
        <x:v>0</x:v>
      </x:c>
      <x:c r="U171" s="21" t="n">
        <x:f>S171-XLOOKUP(A171,Lotes!$A$4:$A$8,Lotes!$D$4:$D$8,Premissas!$B$9)-Q171-R171</x:f>
        <x:v>1095.6958806818184</x:v>
      </x:c>
      <x:c r="V171" s="21" t="n">
        <x:f>U171*F171</x:f>
        <x:v>0</x:v>
      </x:c>
      <x:c r="W171" s="20" t="n">
        <x:f>IF(S171=0,0,U171/S171)</x:f>
        <x:v>0.31621814738292015</x:v>
      </x:c>
      <x:c r="X171" s="21" t="n">
        <x:f>IF(D171-G171&lt;=0,0,Q171/(D171-G171))</x:f>
        <x:v>152.47422520661146</x:v>
      </x:c>
      <x:c r="Y171" s="20" t="n">
        <x:f>IFERROR(U171/(XLOOKUP(A171,Lotes!$A$4:$A$8,Lotes!$D$4:$D$8,Premissas!$B$9)+Q171+R171),0)</x:f>
        <x:v>0.4624547232024939</x:v>
      </x:c>
      <x:c r="Z171" s="20" t="n">
        <x:f>IF(L171=0,Y171,Y171/MAX(1,L171/Premissas!$B$7))</x:f>
        <x:v>0.07399275571239906</x:v>
      </x:c>
      <x:c r="AA171" s="19" t="str">
        <x:f>IF(L171=0,"Venda imediata",IF(L171&lt;=60,"Baixo",IF(L171&lt;=120,"Médio","Alto")))</x:f>
        <x:v>Alto</x:v>
      </x:c>
      <x:c r="AB171" s="19" t="str">
        <x:f>IF(U171&lt;0,"Não fazer",IF(AA171="Alto","Risco seca",IF(Z171&gt;=0.03,"Bom giro","Margem ok")))</x:f>
        <x:v>Risco seca</x:v>
      </x:c>
    </x:row>
    <x:row r="172">
      <x:c r="A172" s="19" t="str">
        <x:v>Grupo médio 7,75@</x:v>
      </x:c>
      <x:c r="B172" s="19" t="str">
        <x:v>Econômica</x:v>
      </x:c>
      <x:c r="C172" s="19" t="str">
        <x:v>Conservador</x:v>
      </x:c>
      <x:c r="D172" s="19" t="n">
        <x:v>11</x:v>
      </x:c>
      <x:c r="E172" s="21" t="n">
        <x:f>Premissas!$B$6</x:f>
        <x:v>330</x:v>
      </x:c>
      <x:c r="F172" s="19" t="n">
        <x:f>XLOOKUP(A172,Lotes!$A$4:$A$8,Lotes!$B$4:$B$8,0)</x:f>
        <x:v>0</x:v>
      </x:c>
      <x:c r="G172" s="23" t="n">
        <x:f>XLOOKUP(A172,Lotes!$A$4:$A$8,Lotes!$C$4:$C$8,0)</x:f>
        <x:v>7.75</x:v>
      </x:c>
      <x:c r="H172" s="23" t="n">
        <x:f>G172*Premissas!$B$5/Premissas!$B$4</x:f>
        <x:v>211.36363636363635</x:v>
      </x:c>
      <x:c r="I172" s="23" t="n">
        <x:f>D172*Premissas!$B$5/Premissas!$B$4</x:f>
        <x:v>300</x:v>
      </x:c>
      <x:c r="J172" s="23" t="n">
        <x:f>MAX(0,I172-H172)</x:f>
        <x:v>88.63636363636365</x:v>
      </x:c>
      <x:c r="K172" s="23" t="n">
        <x:f>SUMIFS('Cenários de GMD'!$C$4:$C$19,'Cenários de GMD'!$A$4:$A$19,B172,'Cenários de GMD'!$B$4:$B$19,C172)</x:f>
        <x:v>0.4</x:v>
      </x:c>
      <x:c r="L172" s="23" t="n">
        <x:f>IF(J172=0,0,J172/K172)</x:f>
        <x:v>221.59090909090912</x:v>
      </x:c>
      <x:c r="M172" s="23" t="n">
        <x:f>((H172+I172)/2)*SUMIFS('Cenários de GMD'!$D$4:$D$19,'Cenários de GMD'!$A$4:$A$19,B172,'Cenários de GMD'!$B$4:$B$19,C172)</x:f>
        <x:v>0.2556818181818182</x:v>
      </x:c>
      <x:c r="N172" s="23" t="n">
        <x:f>((H172+I172)/2)*SUMIFS('Cenários de GMD'!$E$4:$E$19,'Cenários de GMD'!$A$4:$A$19,B172,'Cenários de GMD'!$B$4:$B$19,C172)</x:f>
        <x:v>0.7670454545454546</x:v>
      </x:c>
      <x:c r="O172" s="21" t="n">
        <x:f>M172*Insumos!$E$4+N172*Insumos!$E$5</x:f>
        <x:v>2.2975568181818184</x:v>
      </x:c>
      <x:c r="P172" s="21" t="n">
        <x:f>O172*Premissas!$B$7</x:f>
        <x:v>68.92670454545456</x:v>
      </x:c>
      <x:c r="Q172" s="21" t="n">
        <x:f>O172*L172</x:f>
        <x:v>509.11770402892574</x:v>
      </x:c>
      <x:c r="R172" s="21" t="n">
        <x:f>Premissas!$B$7*Premissas!$B$8*L172</x:f>
        <x:v>0</x:v>
      </x:c>
      <x:c r="S172" s="21" t="n">
        <x:f>D172*E172</x:f>
        <x:v>3630</x:v>
      </x:c>
      <x:c r="T172" s="21" t="n">
        <x:f>S172*F172</x:f>
        <x:v>0</x:v>
      </x:c>
      <x:c r="U172" s="21" t="n">
        <x:f>S172-XLOOKUP(A172,Lotes!$A$4:$A$8,Lotes!$D$4:$D$8,Premissas!$B$9)-Q172-R172</x:f>
        <x:v>1170.8822959710742</x:v>
      </x:c>
      <x:c r="V172" s="21" t="n">
        <x:f>U172*F172</x:f>
        <x:v>0</x:v>
      </x:c>
      <x:c r="W172" s="20" t="n">
        <x:f>IF(S172=0,0,U172/S172)</x:f>
        <x:v>0.3225571063281196</x:v>
      </x:c>
      <x:c r="X172" s="21" t="n">
        <x:f>IF(D172-G172&lt;=0,0,Q172/(D172-G172))</x:f>
        <x:v>156.65160123966945</x:v>
      </x:c>
      <x:c r="Y172" s="20" t="n">
        <x:f>IFERROR(U172/(XLOOKUP(A172,Lotes!$A$4:$A$8,Lotes!$D$4:$D$8,Premissas!$B$9)+Q172+R172),0)</x:f>
        <x:v>0.47613918359936364</x:v>
      </x:c>
      <x:c r="Z172" s="20" t="n">
        <x:f>IF(L172=0,Y172,Y172/MAX(1,L172/Premissas!$B$7))</x:f>
        <x:v>0.06446192024114461</x:v>
      </x:c>
      <x:c r="AA172" s="19" t="str">
        <x:f>IF(L172=0,"Venda imediata",IF(L172&lt;=60,"Baixo",IF(L172&lt;=120,"Médio","Alto")))</x:f>
        <x:v>Alto</x:v>
      </x:c>
      <x:c r="AB172" s="19" t="str">
        <x:f>IF(U172&lt;0,"Não fazer",IF(AA172="Alto","Risco seca",IF(Z172&gt;=0.03,"Bom giro","Margem ok")))</x:f>
        <x:v>Risco seca</x:v>
      </x:c>
    </x:row>
    <x:row r="173">
      <x:c r="A173" s="19" t="str">
        <x:v>Grupo médio 7,75@</x:v>
      </x:c>
      <x:c r="B173" s="19" t="str">
        <x:v>Econômica</x:v>
      </x:c>
      <x:c r="C173" s="19" t="str">
        <x:v>Conservador</x:v>
      </x:c>
      <x:c r="D173" s="19" t="n">
        <x:v>12</x:v>
      </x:c>
      <x:c r="E173" s="21" t="n">
        <x:f>Premissas!$B$6</x:f>
        <x:v>330</x:v>
      </x:c>
      <x:c r="F173" s="19" t="n">
        <x:f>XLOOKUP(A173,Lotes!$A$4:$A$8,Lotes!$B$4:$B$8,0)</x:f>
        <x:v>0</x:v>
      </x:c>
      <x:c r="G173" s="23" t="n">
        <x:f>XLOOKUP(A173,Lotes!$A$4:$A$8,Lotes!$C$4:$C$8,0)</x:f>
        <x:v>7.75</x:v>
      </x:c>
      <x:c r="H173" s="23" t="n">
        <x:f>G173*Premissas!$B$5/Premissas!$B$4</x:f>
        <x:v>211.36363636363635</x:v>
      </x:c>
      <x:c r="I173" s="23" t="n">
        <x:f>D173*Premissas!$B$5/Premissas!$B$4</x:f>
        <x:v>327.27272727272725</x:v>
      </x:c>
      <x:c r="J173" s="23" t="n">
        <x:f>MAX(0,I173-H173)</x:f>
        <x:v>115.9090909090909</x:v>
      </x:c>
      <x:c r="K173" s="23" t="n">
        <x:f>SUMIFS('Cenários de GMD'!$C$4:$C$19,'Cenários de GMD'!$A$4:$A$19,B173,'Cenários de GMD'!$B$4:$B$19,C173)</x:f>
        <x:v>0.4</x:v>
      </x:c>
      <x:c r="L173" s="23" t="n">
        <x:f>IF(J173=0,0,J173/K173)</x:f>
        <x:v>289.77272727272725</x:v>
      </x:c>
      <x:c r="M173" s="23" t="n">
        <x:f>((H173+I173)/2)*SUMIFS('Cenários de GMD'!$D$4:$D$19,'Cenários de GMD'!$A$4:$A$19,B173,'Cenários de GMD'!$B$4:$B$19,C173)</x:f>
        <x:v>0.26931818181818185</x:v>
      </x:c>
      <x:c r="N173" s="23" t="n">
        <x:f>((H173+I173)/2)*SUMIFS('Cenários de GMD'!$E$4:$E$19,'Cenários de GMD'!$A$4:$A$19,B173,'Cenários de GMD'!$B$4:$B$19,C173)</x:f>
        <x:v>0.8079545454545455</x:v>
      </x:c>
      <x:c r="O173" s="21" t="n">
        <x:f>M173*Insumos!$E$4+N173*Insumos!$E$5</x:f>
        <x:v>2.420093181818182</x:v>
      </x:c>
      <x:c r="P173" s="21" t="n">
        <x:f>O173*Premissas!$B$7</x:f>
        <x:v>72.60279545454546</x:v>
      </x:c>
      <x:c r="Q173" s="21" t="n">
        <x:f>O173*L173</x:f>
        <x:v>701.2770015495868</x:v>
      </x:c>
      <x:c r="R173" s="21" t="n">
        <x:f>Premissas!$B$7*Premissas!$B$8*L173</x:f>
        <x:v>0</x:v>
      </x:c>
      <x:c r="S173" s="21" t="n">
        <x:f>D173*E173</x:f>
        <x:v>3960</x:v>
      </x:c>
      <x:c r="T173" s="21" t="n">
        <x:f>S173*F173</x:f>
        <x:v>0</x:v>
      </x:c>
      <x:c r="U173" s="21" t="n">
        <x:f>S173-XLOOKUP(A173,Lotes!$A$4:$A$8,Lotes!$D$4:$D$8,Premissas!$B$9)-Q173-R173</x:f>
        <x:v>1308.7229984504133</x:v>
      </x:c>
      <x:c r="V173" s="21" t="n">
        <x:f>U173*F173</x:f>
        <x:v>0</x:v>
      </x:c>
      <x:c r="W173" s="20" t="n">
        <x:f>IF(S173=0,0,U173/S173)</x:f>
        <x:v>0.3304856056692963</x:v>
      </x:c>
      <x:c r="X173" s="21" t="n">
        <x:f>IF(D173-G173&lt;=0,0,Q173/(D173-G173))</x:f>
        <x:v>165.00635330578513</x:v>
      </x:c>
      <x:c r="Y173" s="20" t="n">
        <x:f>IFERROR(U173/(XLOOKUP(A173,Lotes!$A$4:$A$8,Lotes!$D$4:$D$8,Premissas!$B$9)+Q173+R173),0)</x:f>
        <x:v>0.49361986608170577</x:v>
      </x:c>
      <x:c r="Z173" s="20" t="n">
        <x:f>IF(L173=0,Y173,Y173/MAX(1,L173/Premissas!$B$7))</x:f>
        <x:v>0.0511041743708119</x:v>
      </x:c>
      <x:c r="AA173" s="19" t="str">
        <x:f>IF(L173=0,"Venda imediata",IF(L173&lt;=60,"Baixo",IF(L173&lt;=120,"Médio","Alto")))</x:f>
        <x:v>Alto</x:v>
      </x:c>
      <x:c r="AB173" s="19" t="str">
        <x:f>IF(U173&lt;0,"Não fazer",IF(AA173="Alto","Risco seca",IF(Z173&gt;=0.03,"Bom giro","Margem ok")))</x:f>
        <x:v>Risco seca</x:v>
      </x:c>
    </x:row>
    <x:row r="174">
      <x:c r="A174" s="19" t="str">
        <x:v>Grupo médio 7,75@</x:v>
      </x:c>
      <x:c r="B174" s="19" t="str">
        <x:v>Econômica</x:v>
      </x:c>
      <x:c r="C174" s="19" t="str">
        <x:v>Base</x:v>
      </x:c>
      <x:c r="D174" s="19" t="n">
        <x:v>8.5</x:v>
      </x:c>
      <x:c r="E174" s="21" t="n">
        <x:f>Premissas!$B$6</x:f>
        <x:v>330</x:v>
      </x:c>
      <x:c r="F174" s="19" t="n">
        <x:f>XLOOKUP(A174,Lotes!$A$4:$A$8,Lotes!$B$4:$B$8,0)</x:f>
        <x:v>0</x:v>
      </x:c>
      <x:c r="G174" s="23" t="n">
        <x:f>XLOOKUP(A174,Lotes!$A$4:$A$8,Lotes!$C$4:$C$8,0)</x:f>
        <x:v>7.75</x:v>
      </x:c>
      <x:c r="H174" s="23" t="n">
        <x:f>G174*Premissas!$B$5/Premissas!$B$4</x:f>
        <x:v>211.36363636363635</x:v>
      </x:c>
      <x:c r="I174" s="23" t="n">
        <x:f>D174*Premissas!$B$5/Premissas!$B$4</x:f>
        <x:v>231.8181818181818</x:v>
      </x:c>
      <x:c r="J174" s="23" t="n">
        <x:f>MAX(0,I174-H174)</x:f>
        <x:v>20.454545454545467</x:v>
      </x:c>
      <x:c r="K174" s="23" t="n">
        <x:f>SUMIFS('Cenários de GMD'!$C$4:$C$19,'Cenários de GMD'!$A$4:$A$19,B174,'Cenários de GMD'!$B$4:$B$19,C174)</x:f>
        <x:v>0.5</x:v>
      </x:c>
      <x:c r="L174" s="23" t="n">
        <x:f>IF(J174=0,0,J174/K174)</x:f>
        <x:v>40.909090909090935</x:v>
      </x:c>
      <x:c r="M174" s="23" t="n">
        <x:f>((H174+I174)/2)*SUMIFS('Cenários de GMD'!$D$4:$D$19,'Cenários de GMD'!$A$4:$A$19,B174,'Cenários de GMD'!$B$4:$B$19,C174)</x:f>
        <x:v>0.22159090909090906</x:v>
      </x:c>
      <x:c r="N174" s="23" t="n">
        <x:f>((H174+I174)/2)*SUMIFS('Cenários de GMD'!$E$4:$E$19,'Cenários de GMD'!$A$4:$A$19,B174,'Cenários de GMD'!$B$4:$B$19,C174)</x:f>
        <x:v>0.6647727272727272</x:v>
      </x:c>
      <x:c r="O174" s="21" t="n">
        <x:f>M174*Insumos!$E$4+N174*Insumos!$E$5</x:f>
        <x:v>1.991215909090909</x:v>
      </x:c>
      <x:c r="P174" s="21" t="n">
        <x:f>O174*Premissas!$B$7</x:f>
        <x:v>59.73647727272727</x:v>
      </x:c>
      <x:c r="Q174" s="21" t="n">
        <x:f>O174*L174</x:f>
        <x:v>81.45883264462815</x:v>
      </x:c>
      <x:c r="R174" s="21" t="n">
        <x:f>Premissas!$B$7*Premissas!$B$8*L174</x:f>
        <x:v>0</x:v>
      </x:c>
      <x:c r="S174" s="21" t="n">
        <x:f>D174*E174</x:f>
        <x:v>2805</x:v>
      </x:c>
      <x:c r="T174" s="21" t="n">
        <x:f>S174*F174</x:f>
        <x:v>0</x:v>
      </x:c>
      <x:c r="U174" s="21" t="n">
        <x:f>S174-XLOOKUP(A174,Lotes!$A$4:$A$8,Lotes!$D$4:$D$8,Premissas!$B$9)-Q174-R174</x:f>
        <x:v>773.5411673553718</x:v>
      </x:c>
      <x:c r="V174" s="21" t="n">
        <x:f>U174*F174</x:f>
        <x:v>0</x:v>
      </x:c>
      <x:c r="W174" s="20" t="n">
        <x:f>IF(S174=0,0,U174/S174)</x:f>
        <x:v>0.27577225217660317</x:v>
      </x:c>
      <x:c r="X174" s="21" t="n">
        <x:f>IF(D174-G174&lt;=0,0,Q174/(D174-G174))</x:f>
        <x:v>108.61177685950419</x:v>
      </x:c>
      <x:c r="Y174" s="20" t="n">
        <x:f>IFERROR(U174/(XLOOKUP(A174,Lotes!$A$4:$A$8,Lotes!$D$4:$D$8,Premissas!$B$9)+Q174+R174),0)</x:f>
        <x:v>0.3807811189303538</x:v>
      </x:c>
      <x:c r="Z174" s="20" t="n">
        <x:f>IF(L174=0,Y174,Y174/MAX(1,L174/Premissas!$B$7))</x:f>
        <x:v>0.27923948721559266</x:v>
      </x:c>
      <x:c r="AA174" s="19" t="str">
        <x:f>IF(L174=0,"Venda imediata",IF(L174&lt;=60,"Baixo",IF(L174&lt;=120,"Médio","Alto")))</x:f>
        <x:v>Baixo</x:v>
      </x:c>
      <x:c r="AB174" s="19" t="str">
        <x:f>IF(U174&lt;0,"Não fazer",IF(AA174="Alto","Risco seca",IF(Z174&gt;=0.03,"Bom giro","Margem ok")))</x:f>
        <x:v>Bom giro</x:v>
      </x:c>
    </x:row>
    <x:row r="175">
      <x:c r="A175" s="19" t="str">
        <x:v>Grupo médio 7,75@</x:v>
      </x:c>
      <x:c r="B175" s="19" t="str">
        <x:v>Econômica</x:v>
      </x:c>
      <x:c r="C175" s="19" t="str">
        <x:v>Base</x:v>
      </x:c>
      <x:c r="D175" s="19" t="n">
        <x:v>9</x:v>
      </x:c>
      <x:c r="E175" s="21" t="n">
        <x:f>Premissas!$B$6</x:f>
        <x:v>330</x:v>
      </x:c>
      <x:c r="F175" s="19" t="n">
        <x:f>XLOOKUP(A175,Lotes!$A$4:$A$8,Lotes!$B$4:$B$8,0)</x:f>
        <x:v>0</x:v>
      </x:c>
      <x:c r="G175" s="23" t="n">
        <x:f>XLOOKUP(A175,Lotes!$A$4:$A$8,Lotes!$C$4:$C$8,0)</x:f>
        <x:v>7.75</x:v>
      </x:c>
      <x:c r="H175" s="23" t="n">
        <x:f>G175*Premissas!$B$5/Premissas!$B$4</x:f>
        <x:v>211.36363636363635</x:v>
      </x:c>
      <x:c r="I175" s="23" t="n">
        <x:f>D175*Premissas!$B$5/Premissas!$B$4</x:f>
        <x:v>245.45454545454544</x:v>
      </x:c>
      <x:c r="J175" s="23" t="n">
        <x:f>MAX(0,I175-H175)</x:f>
        <x:v>34.09090909090909</x:v>
      </x:c>
      <x:c r="K175" s="23" t="n">
        <x:f>SUMIFS('Cenários de GMD'!$C$4:$C$19,'Cenários de GMD'!$A$4:$A$19,B175,'Cenários de GMD'!$B$4:$B$19,C175)</x:f>
        <x:v>0.5</x:v>
      </x:c>
      <x:c r="L175" s="23" t="n">
        <x:f>IF(J175=0,0,J175/K175)</x:f>
        <x:v>68.18181818181819</x:v>
      </x:c>
      <x:c r="M175" s="23" t="n">
        <x:f>((H175+I175)/2)*SUMIFS('Cenários de GMD'!$D$4:$D$19,'Cenários de GMD'!$A$4:$A$19,B175,'Cenários de GMD'!$B$4:$B$19,C175)</x:f>
        <x:v>0.2284090909090909</x:v>
      </x:c>
      <x:c r="N175" s="23" t="n">
        <x:f>((H175+I175)/2)*SUMIFS('Cenários de GMD'!$E$4:$E$19,'Cenários de GMD'!$A$4:$A$19,B175,'Cenários de GMD'!$B$4:$B$19,C175)</x:f>
        <x:v>0.6852272727272727</x:v>
      </x:c>
      <x:c r="O175" s="21" t="n">
        <x:f>M175*Insumos!$E$4+N175*Insumos!$E$5</x:f>
        <x:v>2.0524840909090907</x:v>
      </x:c>
      <x:c r="P175" s="21" t="n">
        <x:f>O175*Premissas!$B$7</x:f>
        <x:v>61.57452272727272</x:v>
      </x:c>
      <x:c r="Q175" s="21" t="n">
        <x:f>O175*L175</x:f>
        <x:v>139.942097107438</x:v>
      </x:c>
      <x:c r="R175" s="21" t="n">
        <x:f>Premissas!$B$7*Premissas!$B$8*L175</x:f>
        <x:v>0</x:v>
      </x:c>
      <x:c r="S175" s="21" t="n">
        <x:f>D175*E175</x:f>
        <x:v>2970</x:v>
      </x:c>
      <x:c r="T175" s="21" t="n">
        <x:f>S175*F175</x:f>
        <x:v>0</x:v>
      </x:c>
      <x:c r="U175" s="21" t="n">
        <x:f>S175-XLOOKUP(A175,Lotes!$A$4:$A$8,Lotes!$D$4:$D$8,Premissas!$B$9)-Q175-R175</x:f>
        <x:v>880.057902892562</x:v>
      </x:c>
      <x:c r="V175" s="21" t="n">
        <x:f>U175*F175</x:f>
        <x:v>0</x:v>
      </x:c>
      <x:c r="W175" s="20" t="n">
        <x:f>IF(S175=0,0,U175/S175)</x:f>
        <x:v>0.2963157922197178</x:v>
      </x:c>
      <x:c r="X175" s="21" t="n">
        <x:f>IF(D175-G175&lt;=0,0,Q175/(D175-G175))</x:f>
        <x:v>111.9536776859504</x:v>
      </x:c>
      <x:c r="Y175" s="20" t="n">
        <x:f>IFERROR(U175/(XLOOKUP(A175,Lotes!$A$4:$A$8,Lotes!$D$4:$D$8,Premissas!$B$9)+Q175+R175),0)</x:f>
        <x:v>0.4210920025538491</x:v>
      </x:c>
      <x:c r="Z175" s="20" t="n">
        <x:f>IF(L175=0,Y175,Y175/MAX(1,L175/Premissas!$B$7))</x:f>
        <x:v>0.18528048112369358</x:v>
      </x:c>
      <x:c r="AA175" s="19" t="str">
        <x:f>IF(L175=0,"Venda imediata",IF(L175&lt;=60,"Baixo",IF(L175&lt;=120,"Médio","Alto")))</x:f>
        <x:v>Médio</x:v>
      </x:c>
      <x:c r="AB175" s="19" t="str">
        <x:f>IF(U175&lt;0,"Não fazer",IF(AA175="Alto","Risco seca",IF(Z175&gt;=0.03,"Bom giro","Margem ok")))</x:f>
        <x:v>Bom giro</x:v>
      </x:c>
    </x:row>
    <x:row r="176">
      <x:c r="A176" s="19" t="str">
        <x:v>Grupo médio 7,75@</x:v>
      </x:c>
      <x:c r="B176" s="19" t="str">
        <x:v>Econômica</x:v>
      </x:c>
      <x:c r="C176" s="19" t="str">
        <x:v>Base</x:v>
      </x:c>
      <x:c r="D176" s="19" t="n">
        <x:v>10.5</x:v>
      </x:c>
      <x:c r="E176" s="21" t="n">
        <x:f>Premissas!$B$6</x:f>
        <x:v>330</x:v>
      </x:c>
      <x:c r="F176" s="19" t="n">
        <x:f>XLOOKUP(A176,Lotes!$A$4:$A$8,Lotes!$B$4:$B$8,0)</x:f>
        <x:v>0</x:v>
      </x:c>
      <x:c r="G176" s="23" t="n">
        <x:f>XLOOKUP(A176,Lotes!$A$4:$A$8,Lotes!$C$4:$C$8,0)</x:f>
        <x:v>7.75</x:v>
      </x:c>
      <x:c r="H176" s="23" t="n">
        <x:f>G176*Premissas!$B$5/Premissas!$B$4</x:f>
        <x:v>211.36363636363635</x:v>
      </x:c>
      <x:c r="I176" s="23" t="n">
        <x:f>D176*Premissas!$B$5/Premissas!$B$4</x:f>
        <x:v>286.3636363636363</x:v>
      </x:c>
      <x:c r="J176" s="23" t="n">
        <x:f>MAX(0,I176-H176)</x:f>
        <x:v>74.99999999999997</x:v>
      </x:c>
      <x:c r="K176" s="23" t="n">
        <x:f>SUMIFS('Cenários de GMD'!$C$4:$C$19,'Cenários de GMD'!$A$4:$A$19,B176,'Cenários de GMD'!$B$4:$B$19,C176)</x:f>
        <x:v>0.5</x:v>
      </x:c>
      <x:c r="L176" s="23" t="n">
        <x:f>IF(J176=0,0,J176/K176)</x:f>
        <x:v>149.99999999999994</x:v>
      </x:c>
      <x:c r="M176" s="23" t="n">
        <x:f>((H176+I176)/2)*SUMIFS('Cenários de GMD'!$D$4:$D$19,'Cenários de GMD'!$A$4:$A$19,B176,'Cenários de GMD'!$B$4:$B$19,C176)</x:f>
        <x:v>0.24886363636363631</x:v>
      </x:c>
      <x:c r="N176" s="23" t="n">
        <x:f>((H176+I176)/2)*SUMIFS('Cenários de GMD'!$E$4:$E$19,'Cenários de GMD'!$A$4:$A$19,B176,'Cenários de GMD'!$B$4:$B$19,C176)</x:f>
        <x:v>0.746590909090909</x:v>
      </x:c>
      <x:c r="O176" s="21" t="n">
        <x:f>M176*Insumos!$E$4+N176*Insumos!$E$5</x:f>
        <x:v>2.236288636363636</x:v>
      </x:c>
      <x:c r="P176" s="21" t="n">
        <x:f>O176*Premissas!$B$7</x:f>
        <x:v>67.08865909090908</x:v>
      </x:c>
      <x:c r="Q176" s="21" t="n">
        <x:f>O176*L176</x:f>
        <x:v>335.4432954545453</x:v>
      </x:c>
      <x:c r="R176" s="21" t="n">
        <x:f>Premissas!$B$7*Premissas!$B$8*L176</x:f>
        <x:v>0</x:v>
      </x:c>
      <x:c r="S176" s="21" t="n">
        <x:f>D176*E176</x:f>
        <x:v>3465</x:v>
      </x:c>
      <x:c r="T176" s="21" t="n">
        <x:f>S176*F176</x:f>
        <x:v>0</x:v>
      </x:c>
      <x:c r="U176" s="21" t="n">
        <x:f>S176-XLOOKUP(A176,Lotes!$A$4:$A$8,Lotes!$D$4:$D$8,Premissas!$B$9)-Q176-R176</x:f>
        <x:v>1179.5567045454547</x:v>
      </x:c>
      <x:c r="V176" s="21" t="n">
        <x:f>U176*F176</x:f>
        <x:v>0</x:v>
      </x:c>
      <x:c r="W176" s="20" t="n">
        <x:f>IF(S176=0,0,U176/S176)</x:f>
        <x:v>0.3404204053522236</x:v>
      </x:c>
      <x:c r="X176" s="21" t="n">
        <x:f>IF(D176-G176&lt;=0,0,Q176/(D176-G176))</x:f>
        <x:v>121.9793801652892</x:v>
      </x:c>
      <x:c r="Y176" s="20" t="n">
        <x:f>IFERROR(U176/(XLOOKUP(A176,Lotes!$A$4:$A$8,Lotes!$D$4:$D$8,Premissas!$B$9)+Q176+R176),0)</x:f>
        <x:v>0.5161172481905117</x:v>
      </x:c>
      <x:c r="Z176" s="20" t="n">
        <x:f>IF(L176=0,Y176,Y176/MAX(1,L176/Premissas!$B$7))</x:f>
        <x:v>0.10322344963810239</x:v>
      </x:c>
      <x:c r="AA176" s="19" t="str">
        <x:f>IF(L176=0,"Venda imediata",IF(L176&lt;=60,"Baixo",IF(L176&lt;=120,"Médio","Alto")))</x:f>
        <x:v>Alto</x:v>
      </x:c>
      <x:c r="AB176" s="19" t="str">
        <x:f>IF(U176&lt;0,"Não fazer",IF(AA176="Alto","Risco seca",IF(Z176&gt;=0.03,"Bom giro","Margem ok")))</x:f>
        <x:v>Risco seca</x:v>
      </x:c>
    </x:row>
    <x:row r="177">
      <x:c r="A177" s="19" t="str">
        <x:v>Grupo médio 7,75@</x:v>
      </x:c>
      <x:c r="B177" s="19" t="str">
        <x:v>Econômica</x:v>
      </x:c>
      <x:c r="C177" s="19" t="str">
        <x:v>Base</x:v>
      </x:c>
      <x:c r="D177" s="19" t="n">
        <x:v>11</x:v>
      </x:c>
      <x:c r="E177" s="21" t="n">
        <x:f>Premissas!$B$6</x:f>
        <x:v>330</x:v>
      </x:c>
      <x:c r="F177" s="19" t="n">
        <x:f>XLOOKUP(A177,Lotes!$A$4:$A$8,Lotes!$B$4:$B$8,0)</x:f>
        <x:v>0</x:v>
      </x:c>
      <x:c r="G177" s="23" t="n">
        <x:f>XLOOKUP(A177,Lotes!$A$4:$A$8,Lotes!$C$4:$C$8,0)</x:f>
        <x:v>7.75</x:v>
      </x:c>
      <x:c r="H177" s="23" t="n">
        <x:f>G177*Premissas!$B$5/Premissas!$B$4</x:f>
        <x:v>211.36363636363635</x:v>
      </x:c>
      <x:c r="I177" s="23" t="n">
        <x:f>D177*Premissas!$B$5/Premissas!$B$4</x:f>
        <x:v>300</x:v>
      </x:c>
      <x:c r="J177" s="23" t="n">
        <x:f>MAX(0,I177-H177)</x:f>
        <x:v>88.63636363636365</x:v>
      </x:c>
      <x:c r="K177" s="23" t="n">
        <x:f>SUMIFS('Cenários de GMD'!$C$4:$C$19,'Cenários de GMD'!$A$4:$A$19,B177,'Cenários de GMD'!$B$4:$B$19,C177)</x:f>
        <x:v>0.5</x:v>
      </x:c>
      <x:c r="L177" s="23" t="n">
        <x:f>IF(J177=0,0,J177/K177)</x:f>
        <x:v>177.2727272727273</x:v>
      </x:c>
      <x:c r="M177" s="23" t="n">
        <x:f>((H177+I177)/2)*SUMIFS('Cenários de GMD'!$D$4:$D$19,'Cenários de GMD'!$A$4:$A$19,B177,'Cenários de GMD'!$B$4:$B$19,C177)</x:f>
        <x:v>0.2556818181818182</x:v>
      </x:c>
      <x:c r="N177" s="23" t="n">
        <x:f>((H177+I177)/2)*SUMIFS('Cenários de GMD'!$E$4:$E$19,'Cenários de GMD'!$A$4:$A$19,B177,'Cenários de GMD'!$B$4:$B$19,C177)</x:f>
        <x:v>0.7670454545454546</x:v>
      </x:c>
      <x:c r="O177" s="21" t="n">
        <x:f>M177*Insumos!$E$4+N177*Insumos!$E$5</x:f>
        <x:v>2.2975568181818184</x:v>
      </x:c>
      <x:c r="P177" s="21" t="n">
        <x:f>O177*Premissas!$B$7</x:f>
        <x:v>68.92670454545456</x:v>
      </x:c>
      <x:c r="Q177" s="21" t="n">
        <x:f>O177*L177</x:f>
        <x:v>407.29416322314063</x:v>
      </x:c>
      <x:c r="R177" s="21" t="n">
        <x:f>Premissas!$B$7*Premissas!$B$8*L177</x:f>
        <x:v>0</x:v>
      </x:c>
      <x:c r="S177" s="21" t="n">
        <x:f>D177*E177</x:f>
        <x:v>3630</x:v>
      </x:c>
      <x:c r="T177" s="21" t="n">
        <x:f>S177*F177</x:f>
        <x:v>0</x:v>
      </x:c>
      <x:c r="U177" s="21" t="n">
        <x:f>S177-XLOOKUP(A177,Lotes!$A$4:$A$8,Lotes!$D$4:$D$8,Premissas!$B$9)-Q177-R177</x:f>
        <x:v>1272.7058367768593</x:v>
      </x:c>
      <x:c r="V177" s="21" t="n">
        <x:f>U177*F177</x:f>
        <x:v>0</x:v>
      </x:c>
      <x:c r="W177" s="20" t="n">
        <x:f>IF(S177=0,0,U177/S177)</x:f>
        <x:v>0.35060766853357006</x:v>
      </x:c>
      <x:c r="X177" s="21" t="n">
        <x:f>IF(D177-G177&lt;=0,0,Q177/(D177-G177))</x:f>
        <x:v>125.32128099173558</x:v>
      </x:c>
      <x:c r="Y177" s="20" t="n">
        <x:f>IFERROR(U177/(XLOOKUP(A177,Lotes!$A$4:$A$8,Lotes!$D$4:$D$8,Premissas!$B$9)+Q177+R177),0)</x:f>
        <x:v>0.5399011530392465</x:v>
      </x:c>
      <x:c r="Z177" s="20" t="n">
        <x:f>IF(L177=0,Y177,Y177/MAX(1,L177/Premissas!$B$7))</x:f>
        <x:v>0.09136788743741092</x:v>
      </x:c>
      <x:c r="AA177" s="19" t="str">
        <x:f>IF(L177=0,"Venda imediata",IF(L177&lt;=60,"Baixo",IF(L177&lt;=120,"Médio","Alto")))</x:f>
        <x:v>Alto</x:v>
      </x:c>
      <x:c r="AB177" s="19" t="str">
        <x:f>IF(U177&lt;0,"Não fazer",IF(AA177="Alto","Risco seca",IF(Z177&gt;=0.03,"Bom giro","Margem ok")))</x:f>
        <x:v>Risco seca</x:v>
      </x:c>
    </x:row>
    <x:row r="178">
      <x:c r="A178" s="19" t="str">
        <x:v>Grupo médio 7,75@</x:v>
      </x:c>
      <x:c r="B178" s="19" t="str">
        <x:v>Econômica</x:v>
      </x:c>
      <x:c r="C178" s="19" t="str">
        <x:v>Base</x:v>
      </x:c>
      <x:c r="D178" s="19" t="n">
        <x:v>12</x:v>
      </x:c>
      <x:c r="E178" s="21" t="n">
        <x:f>Premissas!$B$6</x:f>
        <x:v>330</x:v>
      </x:c>
      <x:c r="F178" s="19" t="n">
        <x:f>XLOOKUP(A178,Lotes!$A$4:$A$8,Lotes!$B$4:$B$8,0)</x:f>
        <x:v>0</x:v>
      </x:c>
      <x:c r="G178" s="23" t="n">
        <x:f>XLOOKUP(A178,Lotes!$A$4:$A$8,Lotes!$C$4:$C$8,0)</x:f>
        <x:v>7.75</x:v>
      </x:c>
      <x:c r="H178" s="23" t="n">
        <x:f>G178*Premissas!$B$5/Premissas!$B$4</x:f>
        <x:v>211.36363636363635</x:v>
      </x:c>
      <x:c r="I178" s="23" t="n">
        <x:f>D178*Premissas!$B$5/Premissas!$B$4</x:f>
        <x:v>327.27272727272725</x:v>
      </x:c>
      <x:c r="J178" s="23" t="n">
        <x:f>MAX(0,I178-H178)</x:f>
        <x:v>115.9090909090909</x:v>
      </x:c>
      <x:c r="K178" s="23" t="n">
        <x:f>SUMIFS('Cenários de GMD'!$C$4:$C$19,'Cenários de GMD'!$A$4:$A$19,B178,'Cenários de GMD'!$B$4:$B$19,C178)</x:f>
        <x:v>0.5</x:v>
      </x:c>
      <x:c r="L178" s="23" t="n">
        <x:f>IF(J178=0,0,J178/K178)</x:f>
        <x:v>231.8181818181818</x:v>
      </x:c>
      <x:c r="M178" s="23" t="n">
        <x:f>((H178+I178)/2)*SUMIFS('Cenários de GMD'!$D$4:$D$19,'Cenários de GMD'!$A$4:$A$19,B178,'Cenários de GMD'!$B$4:$B$19,C178)</x:f>
        <x:v>0.26931818181818185</x:v>
      </x:c>
      <x:c r="N178" s="23" t="n">
        <x:f>((H178+I178)/2)*SUMIFS('Cenários de GMD'!$E$4:$E$19,'Cenários de GMD'!$A$4:$A$19,B178,'Cenários de GMD'!$B$4:$B$19,C178)</x:f>
        <x:v>0.8079545454545455</x:v>
      </x:c>
      <x:c r="O178" s="21" t="n">
        <x:f>M178*Insumos!$E$4+N178*Insumos!$E$5</x:f>
        <x:v>2.420093181818182</x:v>
      </x:c>
      <x:c r="P178" s="21" t="n">
        <x:f>O178*Premissas!$B$7</x:f>
        <x:v>72.60279545454546</x:v>
      </x:c>
      <x:c r="Q178" s="21" t="n">
        <x:f>O178*L178</x:f>
        <x:v>561.0216012396694</x:v>
      </x:c>
      <x:c r="R178" s="21" t="n">
        <x:f>Premissas!$B$7*Premissas!$B$8*L178</x:f>
        <x:v>0</x:v>
      </x:c>
      <x:c r="S178" s="21" t="n">
        <x:f>D178*E178</x:f>
        <x:v>3960</x:v>
      </x:c>
      <x:c r="T178" s="21" t="n">
        <x:f>S178*F178</x:f>
        <x:v>0</x:v>
      </x:c>
      <x:c r="U178" s="21" t="n">
        <x:f>S178-XLOOKUP(A178,Lotes!$A$4:$A$8,Lotes!$D$4:$D$8,Premissas!$B$9)-Q178-R178</x:f>
        <x:v>1448.9783987603305</x:v>
      </x:c>
      <x:c r="V178" s="21" t="n">
        <x:f>U178*F178</x:f>
        <x:v>0</x:v>
      </x:c>
      <x:c r="W178" s="20" t="n">
        <x:f>IF(S178=0,0,U178/S178)</x:f>
        <x:v>0.3659036360505885</x:v>
      </x:c>
      <x:c r="X178" s="21" t="n">
        <x:f>IF(D178-G178&lt;=0,0,Q178/(D178-G178))</x:f>
        <x:v>132.0050826446281</x:v>
      </x:c>
      <x:c r="Y178" s="20" t="n">
        <x:f>IFERROR(U178/(XLOOKUP(A178,Lotes!$A$4:$A$8,Lotes!$D$4:$D$8,Premissas!$B$9)+Q178+R178),0)</x:f>
        <x:v>0.5770473651222205</x:v>
      </x:c>
      <x:c r="Z178" s="20" t="n">
        <x:f>IF(L178=0,Y178,Y178/MAX(1,L178/Premissas!$B$7))</x:f>
        <x:v>0.07467671783934618</x:v>
      </x:c>
      <x:c r="AA178" s="19" t="str">
        <x:f>IF(L178=0,"Venda imediata",IF(L178&lt;=60,"Baixo",IF(L178&lt;=120,"Médio","Alto")))</x:f>
        <x:v>Alto</x:v>
      </x:c>
      <x:c r="AB178" s="19" t="str">
        <x:f>IF(U178&lt;0,"Não fazer",IF(AA178="Alto","Risco seca",IF(Z178&gt;=0.03,"Bom giro","Margem ok")))</x:f>
        <x:v>Risco seca</x:v>
      </x:c>
    </x:row>
    <x:row r="179">
      <x:c r="A179" s="19" t="str">
        <x:v>Grupo médio 7,75@</x:v>
      </x:c>
      <x:c r="B179" s="19" t="str">
        <x:v>Econômica</x:v>
      </x:c>
      <x:c r="C179" s="19" t="str">
        <x:v>Bom</x:v>
      </x:c>
      <x:c r="D179" s="19" t="n">
        <x:v>8.5</x:v>
      </x:c>
      <x:c r="E179" s="21" t="n">
        <x:f>Premissas!$B$6</x:f>
        <x:v>330</x:v>
      </x:c>
      <x:c r="F179" s="19" t="n">
        <x:f>XLOOKUP(A179,Lotes!$A$4:$A$8,Lotes!$B$4:$B$8,0)</x:f>
        <x:v>0</x:v>
      </x:c>
      <x:c r="G179" s="23" t="n">
        <x:f>XLOOKUP(A179,Lotes!$A$4:$A$8,Lotes!$C$4:$C$8,0)</x:f>
        <x:v>7.75</x:v>
      </x:c>
      <x:c r="H179" s="23" t="n">
        <x:f>G179*Premissas!$B$5/Premissas!$B$4</x:f>
        <x:v>211.36363636363635</x:v>
      </x:c>
      <x:c r="I179" s="23" t="n">
        <x:f>D179*Premissas!$B$5/Premissas!$B$4</x:f>
        <x:v>231.8181818181818</x:v>
      </x:c>
      <x:c r="J179" s="23" t="n">
        <x:f>MAX(0,I179-H179)</x:f>
        <x:v>20.454545454545467</x:v>
      </x:c>
      <x:c r="K179" s="23" t="n">
        <x:f>SUMIFS('Cenários de GMD'!$C$4:$C$19,'Cenários de GMD'!$A$4:$A$19,B179,'Cenários de GMD'!$B$4:$B$19,C179)</x:f>
        <x:v>0.6</x:v>
      </x:c>
      <x:c r="L179" s="23" t="n">
        <x:f>IF(J179=0,0,J179/K179)</x:f>
        <x:v>34.090909090909115</x:v>
      </x:c>
      <x:c r="M179" s="23" t="n">
        <x:f>((H179+I179)/2)*SUMIFS('Cenários de GMD'!$D$4:$D$19,'Cenários de GMD'!$A$4:$A$19,B179,'Cenários de GMD'!$B$4:$B$19,C179)</x:f>
        <x:v>0.22159090909090906</x:v>
      </x:c>
      <x:c r="N179" s="23" t="n">
        <x:f>((H179+I179)/2)*SUMIFS('Cenários de GMD'!$E$4:$E$19,'Cenários de GMD'!$A$4:$A$19,B179,'Cenários de GMD'!$B$4:$B$19,C179)</x:f>
        <x:v>0.6647727272727272</x:v>
      </x:c>
      <x:c r="O179" s="21" t="n">
        <x:f>M179*Insumos!$E$4+N179*Insumos!$E$5</x:f>
        <x:v>1.991215909090909</x:v>
      </x:c>
      <x:c r="P179" s="21" t="n">
        <x:f>O179*Premissas!$B$7</x:f>
        <x:v>59.73647727272727</x:v>
      </x:c>
      <x:c r="Q179" s="21" t="n">
        <x:f>O179*L179</x:f>
        <x:v>67.88236053719012</x:v>
      </x:c>
      <x:c r="R179" s="21" t="n">
        <x:f>Premissas!$B$7*Premissas!$B$8*L179</x:f>
        <x:v>0</x:v>
      </x:c>
      <x:c r="S179" s="21" t="n">
        <x:f>D179*E179</x:f>
        <x:v>2805</x:v>
      </x:c>
      <x:c r="T179" s="21" t="n">
        <x:f>S179*F179</x:f>
        <x:v>0</x:v>
      </x:c>
      <x:c r="U179" s="21" t="n">
        <x:f>S179-XLOOKUP(A179,Lotes!$A$4:$A$8,Lotes!$D$4:$D$8,Premissas!$B$9)-Q179-R179</x:f>
        <x:v>787.1176394628098</x:v>
      </x:c>
      <x:c r="V179" s="21" t="n">
        <x:f>U179*F179</x:f>
        <x:v>0</x:v>
      </x:c>
      <x:c r="W179" s="20" t="n">
        <x:f>IF(S179=0,0,U179/S179)</x:f>
        <x:v>0.2806123491846024</x:v>
      </x:c>
      <x:c r="X179" s="21" t="n">
        <x:f>IF(D179-G179&lt;=0,0,Q179/(D179-G179))</x:f>
        <x:v>90.50981404958684</x:v>
      </x:c>
      <x:c r="Y179" s="20" t="n">
        <x:f>IFERROR(U179/(XLOOKUP(A179,Lotes!$A$4:$A$8,Lotes!$D$4:$D$8,Premissas!$B$9)+Q179+R179),0)</x:f>
        <x:v>0.39007112349863027</x:v>
      </x:c>
      <x:c r="Z179" s="20" t="n">
        <x:f>IF(L179=0,Y179,Y179/MAX(1,L179/Premissas!$B$7))</x:f>
        <x:v>0.3432625886787944</x:v>
      </x:c>
      <x:c r="AA179" s="19" t="str">
        <x:f>IF(L179=0,"Venda imediata",IF(L179&lt;=60,"Baixo",IF(L179&lt;=120,"Médio","Alto")))</x:f>
        <x:v>Baixo</x:v>
      </x:c>
      <x:c r="AB179" s="19" t="str">
        <x:f>IF(U179&lt;0,"Não fazer",IF(AA179="Alto","Risco seca",IF(Z179&gt;=0.03,"Bom giro","Margem ok")))</x:f>
        <x:v>Bom giro</x:v>
      </x:c>
    </x:row>
    <x:row r="180">
      <x:c r="A180" s="19" t="str">
        <x:v>Grupo médio 7,75@</x:v>
      </x:c>
      <x:c r="B180" s="19" t="str">
        <x:v>Econômica</x:v>
      </x:c>
      <x:c r="C180" s="19" t="str">
        <x:v>Bom</x:v>
      </x:c>
      <x:c r="D180" s="19" t="n">
        <x:v>9</x:v>
      </x:c>
      <x:c r="E180" s="21" t="n">
        <x:f>Premissas!$B$6</x:f>
        <x:v>330</x:v>
      </x:c>
      <x:c r="F180" s="19" t="n">
        <x:f>XLOOKUP(A180,Lotes!$A$4:$A$8,Lotes!$B$4:$B$8,0)</x:f>
        <x:v>0</x:v>
      </x:c>
      <x:c r="G180" s="23" t="n">
        <x:f>XLOOKUP(A180,Lotes!$A$4:$A$8,Lotes!$C$4:$C$8,0)</x:f>
        <x:v>7.75</x:v>
      </x:c>
      <x:c r="H180" s="23" t="n">
        <x:f>G180*Premissas!$B$5/Premissas!$B$4</x:f>
        <x:v>211.36363636363635</x:v>
      </x:c>
      <x:c r="I180" s="23" t="n">
        <x:f>D180*Premissas!$B$5/Premissas!$B$4</x:f>
        <x:v>245.45454545454544</x:v>
      </x:c>
      <x:c r="J180" s="23" t="n">
        <x:f>MAX(0,I180-H180)</x:f>
        <x:v>34.09090909090909</x:v>
      </x:c>
      <x:c r="K180" s="23" t="n">
        <x:f>SUMIFS('Cenários de GMD'!$C$4:$C$19,'Cenários de GMD'!$A$4:$A$19,B180,'Cenários de GMD'!$B$4:$B$19,C180)</x:f>
        <x:v>0.6</x:v>
      </x:c>
      <x:c r="L180" s="23" t="n">
        <x:f>IF(J180=0,0,J180/K180)</x:f>
        <x:v>56.81818181818183</x:v>
      </x:c>
      <x:c r="M180" s="23" t="n">
        <x:f>((H180+I180)/2)*SUMIFS('Cenários de GMD'!$D$4:$D$19,'Cenários de GMD'!$A$4:$A$19,B180,'Cenários de GMD'!$B$4:$B$19,C180)</x:f>
        <x:v>0.2284090909090909</x:v>
      </x:c>
      <x:c r="N180" s="23" t="n">
        <x:f>((H180+I180)/2)*SUMIFS('Cenários de GMD'!$E$4:$E$19,'Cenários de GMD'!$A$4:$A$19,B180,'Cenários de GMD'!$B$4:$B$19,C180)</x:f>
        <x:v>0.6852272727272727</x:v>
      </x:c>
      <x:c r="O180" s="21" t="n">
        <x:f>M180*Insumos!$E$4+N180*Insumos!$E$5</x:f>
        <x:v>2.0524840909090907</x:v>
      </x:c>
      <x:c r="P180" s="21" t="n">
        <x:f>O180*Premissas!$B$7</x:f>
        <x:v>61.57452272727272</x:v>
      </x:c>
      <x:c r="Q180" s="21" t="n">
        <x:f>O180*L180</x:f>
        <x:v>116.61841425619835</x:v>
      </x:c>
      <x:c r="R180" s="21" t="n">
        <x:f>Premissas!$B$7*Premissas!$B$8*L180</x:f>
        <x:v>0</x:v>
      </x:c>
      <x:c r="S180" s="21" t="n">
        <x:f>D180*E180</x:f>
        <x:v>2970</x:v>
      </x:c>
      <x:c r="T180" s="21" t="n">
        <x:f>S180*F180</x:f>
        <x:v>0</x:v>
      </x:c>
      <x:c r="U180" s="21" t="n">
        <x:f>S180-XLOOKUP(A180,Lotes!$A$4:$A$8,Lotes!$D$4:$D$8,Premissas!$B$9)-Q180-R180</x:f>
        <x:v>903.3815857438017</x:v>
      </x:c>
      <x:c r="V180" s="21" t="n">
        <x:f>U180*F180</x:f>
        <x:v>0</x:v>
      </x:c>
      <x:c r="W180" s="20" t="n">
        <x:f>IF(S180=0,0,U180/S180)</x:f>
        <x:v>0.3041688840888221</x:v>
      </x:c>
      <x:c r="X180" s="21" t="n">
        <x:f>IF(D180-G180&lt;=0,0,Q180/(D180-G180))</x:f>
        <x:v>93.29473140495868</x:v>
      </x:c>
      <x:c r="Y180" s="20" t="n">
        <x:f>IFERROR(U180/(XLOOKUP(A180,Lotes!$A$4:$A$8,Lotes!$D$4:$D$8,Premissas!$B$9)+Q180+R180),0)</x:f>
        <x:v>0.4371303282270133</x:v>
      </x:c>
      <x:c r="Z180" s="20" t="n">
        <x:f>IF(L180=0,Y180,Y180/MAX(1,L180/Premissas!$B$7))</x:f>
        <x:v>0.230804813303863</x:v>
      </x:c>
      <x:c r="AA180" s="19" t="str">
        <x:f>IF(L180=0,"Venda imediata",IF(L180&lt;=60,"Baixo",IF(L180&lt;=120,"Médio","Alto")))</x:f>
        <x:v>Baixo</x:v>
      </x:c>
      <x:c r="AB180" s="19" t="str">
        <x:f>IF(U180&lt;0,"Não fazer",IF(AA180="Alto","Risco seca",IF(Z180&gt;=0.03,"Bom giro","Margem ok")))</x:f>
        <x:v>Bom giro</x:v>
      </x:c>
    </x:row>
    <x:row r="181">
      <x:c r="A181" s="19" t="str">
        <x:v>Grupo médio 7,75@</x:v>
      </x:c>
      <x:c r="B181" s="19" t="str">
        <x:v>Econômica</x:v>
      </x:c>
      <x:c r="C181" s="19" t="str">
        <x:v>Bom</x:v>
      </x:c>
      <x:c r="D181" s="19" t="n">
        <x:v>10.5</x:v>
      </x:c>
      <x:c r="E181" s="21" t="n">
        <x:f>Premissas!$B$6</x:f>
        <x:v>330</x:v>
      </x:c>
      <x:c r="F181" s="19" t="n">
        <x:f>XLOOKUP(A181,Lotes!$A$4:$A$8,Lotes!$B$4:$B$8,0)</x:f>
        <x:v>0</x:v>
      </x:c>
      <x:c r="G181" s="23" t="n">
        <x:f>XLOOKUP(A181,Lotes!$A$4:$A$8,Lotes!$C$4:$C$8,0)</x:f>
        <x:v>7.75</x:v>
      </x:c>
      <x:c r="H181" s="23" t="n">
        <x:f>G181*Premissas!$B$5/Premissas!$B$4</x:f>
        <x:v>211.36363636363635</x:v>
      </x:c>
      <x:c r="I181" s="23" t="n">
        <x:f>D181*Premissas!$B$5/Premissas!$B$4</x:f>
        <x:v>286.3636363636363</x:v>
      </x:c>
      <x:c r="J181" s="23" t="n">
        <x:f>MAX(0,I181-H181)</x:f>
        <x:v>74.99999999999997</x:v>
      </x:c>
      <x:c r="K181" s="23" t="n">
        <x:f>SUMIFS('Cenários de GMD'!$C$4:$C$19,'Cenários de GMD'!$A$4:$A$19,B181,'Cenários de GMD'!$B$4:$B$19,C181)</x:f>
        <x:v>0.6</x:v>
      </x:c>
      <x:c r="L181" s="23" t="n">
        <x:f>IF(J181=0,0,J181/K181)</x:f>
        <x:v>124.99999999999996</x:v>
      </x:c>
      <x:c r="M181" s="23" t="n">
        <x:f>((H181+I181)/2)*SUMIFS('Cenários de GMD'!$D$4:$D$19,'Cenários de GMD'!$A$4:$A$19,B181,'Cenários de GMD'!$B$4:$B$19,C181)</x:f>
        <x:v>0.24886363636363631</x:v>
      </x:c>
      <x:c r="N181" s="23" t="n">
        <x:f>((H181+I181)/2)*SUMIFS('Cenários de GMD'!$E$4:$E$19,'Cenários de GMD'!$A$4:$A$19,B181,'Cenários de GMD'!$B$4:$B$19,C181)</x:f>
        <x:v>0.746590909090909</x:v>
      </x:c>
      <x:c r="O181" s="21" t="n">
        <x:f>M181*Insumos!$E$4+N181*Insumos!$E$5</x:f>
        <x:v>2.236288636363636</x:v>
      </x:c>
      <x:c r="P181" s="21" t="n">
        <x:f>O181*Premissas!$B$7</x:f>
        <x:v>67.08865909090908</x:v>
      </x:c>
      <x:c r="Q181" s="21" t="n">
        <x:f>O181*L181</x:f>
        <x:v>279.5360795454544</x:v>
      </x:c>
      <x:c r="R181" s="21" t="n">
        <x:f>Premissas!$B$7*Premissas!$B$8*L181</x:f>
        <x:v>0</x:v>
      </x:c>
      <x:c r="S181" s="21" t="n">
        <x:f>D181*E181</x:f>
        <x:v>3465</x:v>
      </x:c>
      <x:c r="T181" s="21" t="n">
        <x:f>S181*F181</x:f>
        <x:v>0</x:v>
      </x:c>
      <x:c r="U181" s="21" t="n">
        <x:f>S181-XLOOKUP(A181,Lotes!$A$4:$A$8,Lotes!$D$4:$D$8,Premissas!$B$9)-Q181-R181</x:f>
        <x:v>1235.4639204545456</x:v>
      </x:c>
      <x:c r="V181" s="21" t="n">
        <x:f>U181*F181</x:f>
        <x:v>0</x:v>
      </x:c>
      <x:c r="W181" s="20" t="n">
        <x:f>IF(S181=0,0,U181/S181)</x:f>
        <x:v>0.35655524399842586</x:v>
      </x:c>
      <x:c r="X181" s="21" t="n">
        <x:f>IF(D181-G181&lt;=0,0,Q181/(D181-G181))</x:f>
        <x:v>101.64948347107433</x:v>
      </x:c>
      <x:c r="Y181" s="20" t="n">
        <x:f>IFERROR(U181/(XLOOKUP(A181,Lotes!$A$4:$A$8,Lotes!$D$4:$D$8,Premissas!$B$9)+Q181+R181),0)</x:f>
        <x:v>0.5541349753381991</x:v>
      </x:c>
      <x:c r="Z181" s="20" t="n">
        <x:f>IF(L181=0,Y181,Y181/MAX(1,L181/Premissas!$B$7))</x:f>
        <x:v>0.13299239408116784</x:v>
      </x:c>
      <x:c r="AA181" s="19" t="str">
        <x:f>IF(L181=0,"Venda imediata",IF(L181&lt;=60,"Baixo",IF(L181&lt;=120,"Médio","Alto")))</x:f>
        <x:v>Alto</x:v>
      </x:c>
      <x:c r="AB181" s="19" t="str">
        <x:f>IF(U181&lt;0,"Não fazer",IF(AA181="Alto","Risco seca",IF(Z181&gt;=0.03,"Bom giro","Margem ok")))</x:f>
        <x:v>Risco seca</x:v>
      </x:c>
    </x:row>
    <x:row r="182">
      <x:c r="A182" s="19" t="str">
        <x:v>Grupo médio 7,75@</x:v>
      </x:c>
      <x:c r="B182" s="19" t="str">
        <x:v>Econômica</x:v>
      </x:c>
      <x:c r="C182" s="19" t="str">
        <x:v>Bom</x:v>
      </x:c>
      <x:c r="D182" s="19" t="n">
        <x:v>11</x:v>
      </x:c>
      <x:c r="E182" s="21" t="n">
        <x:f>Premissas!$B$6</x:f>
        <x:v>330</x:v>
      </x:c>
      <x:c r="F182" s="19" t="n">
        <x:f>XLOOKUP(A182,Lotes!$A$4:$A$8,Lotes!$B$4:$B$8,0)</x:f>
        <x:v>0</x:v>
      </x:c>
      <x:c r="G182" s="23" t="n">
        <x:f>XLOOKUP(A182,Lotes!$A$4:$A$8,Lotes!$C$4:$C$8,0)</x:f>
        <x:v>7.75</x:v>
      </x:c>
      <x:c r="H182" s="23" t="n">
        <x:f>G182*Premissas!$B$5/Premissas!$B$4</x:f>
        <x:v>211.36363636363635</x:v>
      </x:c>
      <x:c r="I182" s="23" t="n">
        <x:f>D182*Premissas!$B$5/Premissas!$B$4</x:f>
        <x:v>300</x:v>
      </x:c>
      <x:c r="J182" s="23" t="n">
        <x:f>MAX(0,I182-H182)</x:f>
        <x:v>88.63636363636365</x:v>
      </x:c>
      <x:c r="K182" s="23" t="n">
        <x:f>SUMIFS('Cenários de GMD'!$C$4:$C$19,'Cenários de GMD'!$A$4:$A$19,B182,'Cenários de GMD'!$B$4:$B$19,C182)</x:f>
        <x:v>0.6</x:v>
      </x:c>
      <x:c r="L182" s="23" t="n">
        <x:f>IF(J182=0,0,J182/K182)</x:f>
        <x:v>147.72727272727278</x:v>
      </x:c>
      <x:c r="M182" s="23" t="n">
        <x:f>((H182+I182)/2)*SUMIFS('Cenários de GMD'!$D$4:$D$19,'Cenários de GMD'!$A$4:$A$19,B182,'Cenários de GMD'!$B$4:$B$19,C182)</x:f>
        <x:v>0.2556818181818182</x:v>
      </x:c>
      <x:c r="N182" s="23" t="n">
        <x:f>((H182+I182)/2)*SUMIFS('Cenários de GMD'!$E$4:$E$19,'Cenários de GMD'!$A$4:$A$19,B182,'Cenários de GMD'!$B$4:$B$19,C182)</x:f>
        <x:v>0.7670454545454546</x:v>
      </x:c>
      <x:c r="O182" s="21" t="n">
        <x:f>M182*Insumos!$E$4+N182*Insumos!$E$5</x:f>
        <x:v>2.2975568181818184</x:v>
      </x:c>
      <x:c r="P182" s="21" t="n">
        <x:f>O182*Premissas!$B$7</x:f>
        <x:v>68.92670454545456</x:v>
      </x:c>
      <x:c r="Q182" s="21" t="n">
        <x:f>O182*L182</x:f>
        <x:v>339.4118026859506</x:v>
      </x:c>
      <x:c r="R182" s="21" t="n">
        <x:f>Premissas!$B$7*Premissas!$B$8*L182</x:f>
        <x:v>0</x:v>
      </x:c>
      <x:c r="S182" s="21" t="n">
        <x:f>D182*E182</x:f>
        <x:v>3630</x:v>
      </x:c>
      <x:c r="T182" s="21" t="n">
        <x:f>S182*F182</x:f>
        <x:v>0</x:v>
      </x:c>
      <x:c r="U182" s="21" t="n">
        <x:f>S182-XLOOKUP(A182,Lotes!$A$4:$A$8,Lotes!$D$4:$D$8,Premissas!$B$9)-Q182-R182</x:f>
        <x:v>1340.5881973140495</x:v>
      </x:c>
      <x:c r="V182" s="21" t="n">
        <x:f>U182*F182</x:f>
        <x:v>0</x:v>
      </x:c>
      <x:c r="W182" s="20" t="n">
        <x:f>IF(S182=0,0,U182/S182)</x:f>
        <x:v>0.3693080433372037</x:v>
      </x:c>
      <x:c r="X182" s="21" t="n">
        <x:f>IF(D182-G182&lt;=0,0,Q182/(D182-G182))</x:f>
        <x:v>104.43440082644634</x:v>
      </x:c>
      <x:c r="Y182" s="20" t="n">
        <x:f>IFERROR(U182/(XLOOKUP(A182,Lotes!$A$4:$A$8,Lotes!$D$4:$D$8,Premissas!$B$9)+Q182+R182),0)</x:f>
        <x:v>0.5855600970263471</x:v>
      </x:c>
      <x:c r="Z182" s="20" t="n">
        <x:f>IF(L182=0,Y182,Y182/MAX(1,L182/Premissas!$B$7))</x:f>
        <x:v>0.11891374278073508</x:v>
      </x:c>
      <x:c r="AA182" s="19" t="str">
        <x:f>IF(L182=0,"Venda imediata",IF(L182&lt;=60,"Baixo",IF(L182&lt;=120,"Médio","Alto")))</x:f>
        <x:v>Alto</x:v>
      </x:c>
      <x:c r="AB182" s="19" t="str">
        <x:f>IF(U182&lt;0,"Não fazer",IF(AA182="Alto","Risco seca",IF(Z182&gt;=0.03,"Bom giro","Margem ok")))</x:f>
        <x:v>Risco seca</x:v>
      </x:c>
    </x:row>
    <x:row r="183">
      <x:c r="A183" s="19" t="str">
        <x:v>Grupo médio 7,75@</x:v>
      </x:c>
      <x:c r="B183" s="19" t="str">
        <x:v>Econômica</x:v>
      </x:c>
      <x:c r="C183" s="19" t="str">
        <x:v>Bom</x:v>
      </x:c>
      <x:c r="D183" s="19" t="n">
        <x:v>12</x:v>
      </x:c>
      <x:c r="E183" s="21" t="n">
        <x:f>Premissas!$B$6</x:f>
        <x:v>330</x:v>
      </x:c>
      <x:c r="F183" s="19" t="n">
        <x:f>XLOOKUP(A183,Lotes!$A$4:$A$8,Lotes!$B$4:$B$8,0)</x:f>
        <x:v>0</x:v>
      </x:c>
      <x:c r="G183" s="23" t="n">
        <x:f>XLOOKUP(A183,Lotes!$A$4:$A$8,Lotes!$C$4:$C$8,0)</x:f>
        <x:v>7.75</x:v>
      </x:c>
      <x:c r="H183" s="23" t="n">
        <x:f>G183*Premissas!$B$5/Premissas!$B$4</x:f>
        <x:v>211.36363636363635</x:v>
      </x:c>
      <x:c r="I183" s="23" t="n">
        <x:f>D183*Premissas!$B$5/Premissas!$B$4</x:f>
        <x:v>327.27272727272725</x:v>
      </x:c>
      <x:c r="J183" s="23" t="n">
        <x:f>MAX(0,I183-H183)</x:f>
        <x:v>115.9090909090909</x:v>
      </x:c>
      <x:c r="K183" s="23" t="n">
        <x:f>SUMIFS('Cenários de GMD'!$C$4:$C$19,'Cenários de GMD'!$A$4:$A$19,B183,'Cenários de GMD'!$B$4:$B$19,C183)</x:f>
        <x:v>0.6</x:v>
      </x:c>
      <x:c r="L183" s="23" t="n">
        <x:f>IF(J183=0,0,J183/K183)</x:f>
        <x:v>193.1818181818182</x:v>
      </x:c>
      <x:c r="M183" s="23" t="n">
        <x:f>((H183+I183)/2)*SUMIFS('Cenários de GMD'!$D$4:$D$19,'Cenários de GMD'!$A$4:$A$19,B183,'Cenários de GMD'!$B$4:$B$19,C183)</x:f>
        <x:v>0.26931818181818185</x:v>
      </x:c>
      <x:c r="N183" s="23" t="n">
        <x:f>((H183+I183)/2)*SUMIFS('Cenários de GMD'!$E$4:$E$19,'Cenários de GMD'!$A$4:$A$19,B183,'Cenários de GMD'!$B$4:$B$19,C183)</x:f>
        <x:v>0.8079545454545455</x:v>
      </x:c>
      <x:c r="O183" s="21" t="n">
        <x:f>M183*Insumos!$E$4+N183*Insumos!$E$5</x:f>
        <x:v>2.420093181818182</x:v>
      </x:c>
      <x:c r="P183" s="21" t="n">
        <x:f>O183*Premissas!$B$7</x:f>
        <x:v>72.60279545454546</x:v>
      </x:c>
      <x:c r="Q183" s="21" t="n">
        <x:f>O183*L183</x:f>
        <x:v>467.5180010330579</x:v>
      </x:c>
      <x:c r="R183" s="21" t="n">
        <x:f>Premissas!$B$7*Premissas!$B$8*L183</x:f>
        <x:v>0</x:v>
      </x:c>
      <x:c r="S183" s="21" t="n">
        <x:f>D183*E183</x:f>
        <x:v>3960</x:v>
      </x:c>
      <x:c r="T183" s="21" t="n">
        <x:f>S183*F183</x:f>
        <x:v>0</x:v>
      </x:c>
      <x:c r="U183" s="21" t="n">
        <x:f>S183-XLOOKUP(A183,Lotes!$A$4:$A$8,Lotes!$D$4:$D$8,Premissas!$B$9)-Q183-R183</x:f>
        <x:v>1542.4819989669422</x:v>
      </x:c>
      <x:c r="V183" s="21" t="n">
        <x:f>U183*F183</x:f>
        <x:v>0</x:v>
      </x:c>
      <x:c r="W183" s="20" t="n">
        <x:f>IF(S183=0,0,U183/S183)</x:f>
        <x:v>0.3895156563047834</x:v>
      </x:c>
      <x:c r="X183" s="21" t="n">
        <x:f>IF(D183-G183&lt;=0,0,Q183/(D183-G183))</x:f>
        <x:v>110.00423553719008</x:v>
      </x:c>
      <x:c r="Y183" s="20" t="n">
        <x:f>IFERROR(U183/(XLOOKUP(A183,Lotes!$A$4:$A$8,Lotes!$D$4:$D$8,Premissas!$B$9)+Q183+R183),0)</x:f>
        <x:v>0.6380436457175526</x:v>
      </x:c>
      <x:c r="Z183" s="20" t="n">
        <x:f>IF(L183=0,Y183,Y183/MAX(1,L183/Premissas!$B$7))</x:f>
        <x:v>0.09908442498201993</x:v>
      </x:c>
      <x:c r="AA183" s="19" t="str">
        <x:f>IF(L183=0,"Venda imediata",IF(L183&lt;=60,"Baixo",IF(L183&lt;=120,"Médio","Alto")))</x:f>
        <x:v>Alto</x:v>
      </x:c>
      <x:c r="AB183" s="19" t="str">
        <x:f>IF(U183&lt;0,"Não fazer",IF(AA183="Alto","Risco seca",IF(Z183&gt;=0.03,"Bom giro","Margem ok")))</x:f>
        <x:v>Risco seca</x:v>
      </x:c>
    </x:row>
    <x:row r="184">
      <x:c r="A184" s="19" t="str">
        <x:v>Grupo médio 7,75@</x:v>
      </x:c>
      <x:c r="B184" s="19" t="str">
        <x:v>Econômica</x:v>
      </x:c>
      <x:c r="C184" s="19" t="str">
        <x:v>Ótimo</x:v>
      </x:c>
      <x:c r="D184" s="19" t="n">
        <x:v>8.5</x:v>
      </x:c>
      <x:c r="E184" s="21" t="n">
        <x:f>Premissas!$B$6</x:f>
        <x:v>330</x:v>
      </x:c>
      <x:c r="F184" s="19" t="n">
        <x:f>XLOOKUP(A184,Lotes!$A$4:$A$8,Lotes!$B$4:$B$8,0)</x:f>
        <x:v>0</x:v>
      </x:c>
      <x:c r="G184" s="23" t="n">
        <x:f>XLOOKUP(A184,Lotes!$A$4:$A$8,Lotes!$C$4:$C$8,0)</x:f>
        <x:v>7.75</x:v>
      </x:c>
      <x:c r="H184" s="23" t="n">
        <x:f>G184*Premissas!$B$5/Premissas!$B$4</x:f>
        <x:v>211.36363636363635</x:v>
      </x:c>
      <x:c r="I184" s="23" t="n">
        <x:f>D184*Premissas!$B$5/Premissas!$B$4</x:f>
        <x:v>231.8181818181818</x:v>
      </x:c>
      <x:c r="J184" s="23" t="n">
        <x:f>MAX(0,I184-H184)</x:f>
        <x:v>20.454545454545467</x:v>
      </x:c>
      <x:c r="K184" s="23" t="n">
        <x:f>SUMIFS('Cenários de GMD'!$C$4:$C$19,'Cenários de GMD'!$A$4:$A$19,B184,'Cenários de GMD'!$B$4:$B$19,C184)</x:f>
        <x:v>0.7</x:v>
      </x:c>
      <x:c r="L184" s="23" t="n">
        <x:f>IF(J184=0,0,J184/K184)</x:f>
        <x:v>29.220779220779242</x:v>
      </x:c>
      <x:c r="M184" s="23" t="n">
        <x:f>((H184+I184)/2)*SUMIFS('Cenários de GMD'!$D$4:$D$19,'Cenários de GMD'!$A$4:$A$19,B184,'Cenários de GMD'!$B$4:$B$19,C184)</x:f>
        <x:v>0.22159090909090906</x:v>
      </x:c>
      <x:c r="N184" s="23" t="n">
        <x:f>((H184+I184)/2)*SUMIFS('Cenários de GMD'!$E$4:$E$19,'Cenários de GMD'!$A$4:$A$19,B184,'Cenários de GMD'!$B$4:$B$19,C184)</x:f>
        <x:v>0.6647727272727272</x:v>
      </x:c>
      <x:c r="O184" s="21" t="n">
        <x:f>M184*Insumos!$E$4+N184*Insumos!$E$5</x:f>
        <x:v>1.991215909090909</x:v>
      </x:c>
      <x:c r="P184" s="21" t="n">
        <x:f>O184*Premissas!$B$7</x:f>
        <x:v>59.73647727272727</x:v>
      </x:c>
      <x:c r="Q184" s="21" t="n">
        <x:f>O184*L184</x:f>
        <x:v>58.18488046044868</x:v>
      </x:c>
      <x:c r="R184" s="21" t="n">
        <x:f>Premissas!$B$7*Premissas!$B$8*L184</x:f>
        <x:v>0</x:v>
      </x:c>
      <x:c r="S184" s="21" t="n">
        <x:f>D184*E184</x:f>
        <x:v>2805</x:v>
      </x:c>
      <x:c r="T184" s="21" t="n">
        <x:f>S184*F184</x:f>
        <x:v>0</x:v>
      </x:c>
      <x:c r="U184" s="21" t="n">
        <x:f>S184-XLOOKUP(A184,Lotes!$A$4:$A$8,Lotes!$D$4:$D$8,Premissas!$B$9)-Q184-R184</x:f>
        <x:v>796.8151195395513</x:v>
      </x:c>
      <x:c r="V184" s="21" t="n">
        <x:f>U184*F184</x:f>
        <x:v>0</x:v>
      </x:c>
      <x:c r="W184" s="20" t="n">
        <x:f>IF(S184=0,0,U184/S184)</x:f>
        <x:v>0.2840695613331734</x:v>
      </x:c>
      <x:c r="X184" s="21" t="n">
        <x:f>IF(D184-G184&lt;=0,0,Q184/(D184-G184))</x:f>
        <x:v>77.57984061393158</x:v>
      </x:c>
      <x:c r="Y184" s="20" t="n">
        <x:f>IFERROR(U184/(XLOOKUP(A184,Lotes!$A$4:$A$8,Lotes!$D$4:$D$8,Premissas!$B$9)+Q184+R184),0)</x:f>
        <x:v>0.396783746004926</x:v>
      </x:c>
      <x:c r="Z184" s="20" t="n">
        <x:f>IF(L184=0,Y184,Y184/MAX(1,L184/Premissas!$B$7))</x:f>
        <x:v>0.396783746004926</x:v>
      </x:c>
      <x:c r="AA184" s="19" t="str">
        <x:f>IF(L184=0,"Venda imediata",IF(L184&lt;=60,"Baixo",IF(L184&lt;=120,"Médio","Alto")))</x:f>
        <x:v>Baixo</x:v>
      </x:c>
      <x:c r="AB184" s="19" t="str">
        <x:f>IF(U184&lt;0,"Não fazer",IF(AA184="Alto","Risco seca",IF(Z184&gt;=0.03,"Bom giro","Margem ok")))</x:f>
        <x:v>Bom giro</x:v>
      </x:c>
    </x:row>
    <x:row r="185">
      <x:c r="A185" s="19" t="str">
        <x:v>Grupo médio 7,75@</x:v>
      </x:c>
      <x:c r="B185" s="19" t="str">
        <x:v>Econômica</x:v>
      </x:c>
      <x:c r="C185" s="19" t="str">
        <x:v>Ótimo</x:v>
      </x:c>
      <x:c r="D185" s="19" t="n">
        <x:v>9</x:v>
      </x:c>
      <x:c r="E185" s="21" t="n">
        <x:f>Premissas!$B$6</x:f>
        <x:v>330</x:v>
      </x:c>
      <x:c r="F185" s="19" t="n">
        <x:f>XLOOKUP(A185,Lotes!$A$4:$A$8,Lotes!$B$4:$B$8,0)</x:f>
        <x:v>0</x:v>
      </x:c>
      <x:c r="G185" s="23" t="n">
        <x:f>XLOOKUP(A185,Lotes!$A$4:$A$8,Lotes!$C$4:$C$8,0)</x:f>
        <x:v>7.75</x:v>
      </x:c>
      <x:c r="H185" s="23" t="n">
        <x:f>G185*Premissas!$B$5/Premissas!$B$4</x:f>
        <x:v>211.36363636363635</x:v>
      </x:c>
      <x:c r="I185" s="23" t="n">
        <x:f>D185*Premissas!$B$5/Premissas!$B$4</x:f>
        <x:v>245.45454545454544</x:v>
      </x:c>
      <x:c r="J185" s="23" t="n">
        <x:f>MAX(0,I185-H185)</x:f>
        <x:v>34.09090909090909</x:v>
      </x:c>
      <x:c r="K185" s="23" t="n">
        <x:f>SUMIFS('Cenários de GMD'!$C$4:$C$19,'Cenários de GMD'!$A$4:$A$19,B185,'Cenários de GMD'!$B$4:$B$19,C185)</x:f>
        <x:v>0.7</x:v>
      </x:c>
      <x:c r="L185" s="23" t="n">
        <x:f>IF(J185=0,0,J185/K185)</x:f>
        <x:v>48.70129870129871</x:v>
      </x:c>
      <x:c r="M185" s="23" t="n">
        <x:f>((H185+I185)/2)*SUMIFS('Cenários de GMD'!$D$4:$D$19,'Cenários de GMD'!$A$4:$A$19,B185,'Cenários de GMD'!$B$4:$B$19,C185)</x:f>
        <x:v>0.2284090909090909</x:v>
      </x:c>
      <x:c r="N185" s="23" t="n">
        <x:f>((H185+I185)/2)*SUMIFS('Cenários de GMD'!$E$4:$E$19,'Cenários de GMD'!$A$4:$A$19,B185,'Cenários de GMD'!$B$4:$B$19,C185)</x:f>
        <x:v>0.6852272727272727</x:v>
      </x:c>
      <x:c r="O185" s="21" t="n">
        <x:f>M185*Insumos!$E$4+N185*Insumos!$E$5</x:f>
        <x:v>2.0524840909090907</x:v>
      </x:c>
      <x:c r="P185" s="21" t="n">
        <x:f>O185*Premissas!$B$7</x:f>
        <x:v>61.57452272727272</x:v>
      </x:c>
      <x:c r="Q185" s="21" t="n">
        <x:f>O185*L185</x:f>
        <x:v>99.95864079102716</x:v>
      </x:c>
      <x:c r="R185" s="21" t="n">
        <x:f>Premissas!$B$7*Premissas!$B$8*L185</x:f>
        <x:v>0</x:v>
      </x:c>
      <x:c r="S185" s="21" t="n">
        <x:f>D185*E185</x:f>
        <x:v>2970</x:v>
      </x:c>
      <x:c r="T185" s="21" t="n">
        <x:f>S185*F185</x:f>
        <x:v>0</x:v>
      </x:c>
      <x:c r="U185" s="21" t="n">
        <x:f>S185-XLOOKUP(A185,Lotes!$A$4:$A$8,Lotes!$D$4:$D$8,Premissas!$B$9)-Q185-R185</x:f>
        <x:v>920.0413592089728</x:v>
      </x:c>
      <x:c r="V185" s="21" t="n">
        <x:f>U185*F185</x:f>
        <x:v>0</x:v>
      </x:c>
      <x:c r="W185" s="20" t="n">
        <x:f>IF(S185=0,0,U185/S185)</x:f>
        <x:v>0.3097782354238966</x:v>
      </x:c>
      <x:c r="X185" s="21" t="n">
        <x:f>IF(D185-G185&lt;=0,0,Q185/(D185-G185))</x:f>
        <x:v>79.96691263282173</x:v>
      </x:c>
      <x:c r="Y185" s="20" t="n">
        <x:f>IFERROR(U185/(XLOOKUP(A185,Lotes!$A$4:$A$8,Lotes!$D$4:$D$8,Premissas!$B$9)+Q185+R185),0)</x:f>
        <x:v>0.44880971786530877</x:v>
      </x:c>
      <x:c r="Z185" s="20" t="n">
        <x:f>IF(L185=0,Y185,Y185/MAX(1,L185/Premissas!$B$7))</x:f>
        <x:v>0.2764667862050301</x:v>
      </x:c>
      <x:c r="AA185" s="19" t="str">
        <x:f>IF(L185=0,"Venda imediata",IF(L185&lt;=60,"Baixo",IF(L185&lt;=120,"Médio","Alto")))</x:f>
        <x:v>Baixo</x:v>
      </x:c>
      <x:c r="AB185" s="19" t="str">
        <x:f>IF(U185&lt;0,"Não fazer",IF(AA185="Alto","Risco seca",IF(Z185&gt;=0.03,"Bom giro","Margem ok")))</x:f>
        <x:v>Bom giro</x:v>
      </x:c>
    </x:row>
    <x:row r="186">
      <x:c r="A186" s="19" t="str">
        <x:v>Grupo médio 7,75@</x:v>
      </x:c>
      <x:c r="B186" s="19" t="str">
        <x:v>Econômica</x:v>
      </x:c>
      <x:c r="C186" s="19" t="str">
        <x:v>Ótimo</x:v>
      </x:c>
      <x:c r="D186" s="19" t="n">
        <x:v>10.5</x:v>
      </x:c>
      <x:c r="E186" s="21" t="n">
        <x:f>Premissas!$B$6</x:f>
        <x:v>330</x:v>
      </x:c>
      <x:c r="F186" s="19" t="n">
        <x:f>XLOOKUP(A186,Lotes!$A$4:$A$8,Lotes!$B$4:$B$8,0)</x:f>
        <x:v>0</x:v>
      </x:c>
      <x:c r="G186" s="23" t="n">
        <x:f>XLOOKUP(A186,Lotes!$A$4:$A$8,Lotes!$C$4:$C$8,0)</x:f>
        <x:v>7.75</x:v>
      </x:c>
      <x:c r="H186" s="23" t="n">
        <x:f>G186*Premissas!$B$5/Premissas!$B$4</x:f>
        <x:v>211.36363636363635</x:v>
      </x:c>
      <x:c r="I186" s="23" t="n">
        <x:f>D186*Premissas!$B$5/Premissas!$B$4</x:f>
        <x:v>286.3636363636363</x:v>
      </x:c>
      <x:c r="J186" s="23" t="n">
        <x:f>MAX(0,I186-H186)</x:f>
        <x:v>74.99999999999997</x:v>
      </x:c>
      <x:c r="K186" s="23" t="n">
        <x:f>SUMIFS('Cenários de GMD'!$C$4:$C$19,'Cenários de GMD'!$A$4:$A$19,B186,'Cenários de GMD'!$B$4:$B$19,C186)</x:f>
        <x:v>0.7</x:v>
      </x:c>
      <x:c r="L186" s="23" t="n">
        <x:f>IF(J186=0,0,J186/K186)</x:f>
        <x:v>107.14285714285711</x:v>
      </x:c>
      <x:c r="M186" s="23" t="n">
        <x:f>((H186+I186)/2)*SUMIFS('Cenários de GMD'!$D$4:$D$19,'Cenários de GMD'!$A$4:$A$19,B186,'Cenários de GMD'!$B$4:$B$19,C186)</x:f>
        <x:v>0.24886363636363631</x:v>
      </x:c>
      <x:c r="N186" s="23" t="n">
        <x:f>((H186+I186)/2)*SUMIFS('Cenários de GMD'!$E$4:$E$19,'Cenários de GMD'!$A$4:$A$19,B186,'Cenários de GMD'!$B$4:$B$19,C186)</x:f>
        <x:v>0.746590909090909</x:v>
      </x:c>
      <x:c r="O186" s="21" t="n">
        <x:f>M186*Insumos!$E$4+N186*Insumos!$E$5</x:f>
        <x:v>2.236288636363636</x:v>
      </x:c>
      <x:c r="P186" s="21" t="n">
        <x:f>O186*Premissas!$B$7</x:f>
        <x:v>67.08865909090908</x:v>
      </x:c>
      <x:c r="Q186" s="21" t="n">
        <x:f>O186*L186</x:f>
        <x:v>239.60235389610378</x:v>
      </x:c>
      <x:c r="R186" s="21" t="n">
        <x:f>Premissas!$B$7*Premissas!$B$8*L186</x:f>
        <x:v>0</x:v>
      </x:c>
      <x:c r="S186" s="21" t="n">
        <x:f>D186*E186</x:f>
        <x:v>3465</x:v>
      </x:c>
      <x:c r="T186" s="21" t="n">
        <x:f>S186*F186</x:f>
        <x:v>0</x:v>
      </x:c>
      <x:c r="U186" s="21" t="n">
        <x:f>S186-XLOOKUP(A186,Lotes!$A$4:$A$8,Lotes!$D$4:$D$8,Premissas!$B$9)-Q186-R186</x:f>
        <x:v>1275.3976461038962</x:v>
      </x:c>
      <x:c r="V186" s="21" t="n">
        <x:f>U186*F186</x:f>
        <x:v>0</x:v>
      </x:c>
      <x:c r="W186" s="20" t="n">
        <x:f>IF(S186=0,0,U186/S186)</x:f>
        <x:v>0.3680801287457132</x:v>
      </x:c>
      <x:c r="X186" s="21" t="n">
        <x:f>IF(D186-G186&lt;=0,0,Q186/(D186-G186))</x:f>
        <x:v>87.12812868949229</x:v>
      </x:c>
      <x:c r="Y186" s="20" t="n">
        <x:f>IFERROR(U186/(XLOOKUP(A186,Lotes!$A$4:$A$8,Lotes!$D$4:$D$8,Premissas!$B$9)+Q186+R186),0)</x:f>
        <x:v>0.5824791171942691</x:v>
      </x:c>
      <x:c r="Z186" s="20" t="n">
        <x:f>IF(L186=0,Y186,Y186/MAX(1,L186/Premissas!$B$7))</x:f>
        <x:v>0.1630941528143954</x:v>
      </x:c>
      <x:c r="AA186" s="19" t="str">
        <x:f>IF(L186=0,"Venda imediata",IF(L186&lt;=60,"Baixo",IF(L186&lt;=120,"Médio","Alto")))</x:f>
        <x:v>Médio</x:v>
      </x:c>
      <x:c r="AB186" s="19" t="str">
        <x:f>IF(U186&lt;0,"Não fazer",IF(AA186="Alto","Risco seca",IF(Z186&gt;=0.03,"Bom giro","Margem ok")))</x:f>
        <x:v>Bom giro</x:v>
      </x:c>
    </x:row>
    <x:row r="187">
      <x:c r="A187" s="19" t="str">
        <x:v>Grupo médio 7,75@</x:v>
      </x:c>
      <x:c r="B187" s="19" t="str">
        <x:v>Econômica</x:v>
      </x:c>
      <x:c r="C187" s="19" t="str">
        <x:v>Ótimo</x:v>
      </x:c>
      <x:c r="D187" s="19" t="n">
        <x:v>11</x:v>
      </x:c>
      <x:c r="E187" s="21" t="n">
        <x:f>Premissas!$B$6</x:f>
        <x:v>330</x:v>
      </x:c>
      <x:c r="F187" s="19" t="n">
        <x:f>XLOOKUP(A187,Lotes!$A$4:$A$8,Lotes!$B$4:$B$8,0)</x:f>
        <x:v>0</x:v>
      </x:c>
      <x:c r="G187" s="23" t="n">
        <x:f>XLOOKUP(A187,Lotes!$A$4:$A$8,Lotes!$C$4:$C$8,0)</x:f>
        <x:v>7.75</x:v>
      </x:c>
      <x:c r="H187" s="23" t="n">
        <x:f>G187*Premissas!$B$5/Premissas!$B$4</x:f>
        <x:v>211.36363636363635</x:v>
      </x:c>
      <x:c r="I187" s="23" t="n">
        <x:f>D187*Premissas!$B$5/Premissas!$B$4</x:f>
        <x:v>300</x:v>
      </x:c>
      <x:c r="J187" s="23" t="n">
        <x:f>MAX(0,I187-H187)</x:f>
        <x:v>88.63636363636365</x:v>
      </x:c>
      <x:c r="K187" s="23" t="n">
        <x:f>SUMIFS('Cenários de GMD'!$C$4:$C$19,'Cenários de GMD'!$A$4:$A$19,B187,'Cenários de GMD'!$B$4:$B$19,C187)</x:f>
        <x:v>0.7</x:v>
      </x:c>
      <x:c r="L187" s="23" t="n">
        <x:f>IF(J187=0,0,J187/K187)</x:f>
        <x:v>126.62337662337666</x:v>
      </x:c>
      <x:c r="M187" s="23" t="n">
        <x:f>((H187+I187)/2)*SUMIFS('Cenários de GMD'!$D$4:$D$19,'Cenários de GMD'!$A$4:$A$19,B187,'Cenários de GMD'!$B$4:$B$19,C187)</x:f>
        <x:v>0.2556818181818182</x:v>
      </x:c>
      <x:c r="N187" s="23" t="n">
        <x:f>((H187+I187)/2)*SUMIFS('Cenários de GMD'!$E$4:$E$19,'Cenários de GMD'!$A$4:$A$19,B187,'Cenários de GMD'!$B$4:$B$19,C187)</x:f>
        <x:v>0.7670454545454546</x:v>
      </x:c>
      <x:c r="O187" s="21" t="n">
        <x:f>M187*Insumos!$E$4+N187*Insumos!$E$5</x:f>
        <x:v>2.2975568181818184</x:v>
      </x:c>
      <x:c r="P187" s="21" t="n">
        <x:f>O187*Premissas!$B$7</x:f>
        <x:v>68.92670454545456</x:v>
      </x:c>
      <x:c r="Q187" s="21" t="n">
        <x:f>O187*L187</x:f>
        <x:v>290.9244023022433</x:v>
      </x:c>
      <x:c r="R187" s="21" t="n">
        <x:f>Premissas!$B$7*Premissas!$B$8*L187</x:f>
        <x:v>0</x:v>
      </x:c>
      <x:c r="S187" s="21" t="n">
        <x:f>D187*E187</x:f>
        <x:v>3630</x:v>
      </x:c>
      <x:c r="T187" s="21" t="n">
        <x:f>S187*F187</x:f>
        <x:v>0</x:v>
      </x:c>
      <x:c r="U187" s="21" t="n">
        <x:f>S187-XLOOKUP(A187,Lotes!$A$4:$A$8,Lotes!$D$4:$D$8,Premissas!$B$9)-Q187-R187</x:f>
        <x:v>1389.0755976977566</x:v>
      </x:c>
      <x:c r="V187" s="21" t="n">
        <x:f>U187*F187</x:f>
        <x:v>0</x:v>
      </x:c>
      <x:c r="W187" s="20" t="n">
        <x:f>IF(S187=0,0,U187/S187)</x:f>
        <x:v>0.3826654539112277</x:v>
      </x:c>
      <x:c r="X187" s="21" t="n">
        <x:f>IF(D187-G187&lt;=0,0,Q187/(D187-G187))</x:f>
        <x:v>89.51520070838257</x:v>
      </x:c>
      <x:c r="Y187" s="20" t="n">
        <x:f>IFERROR(U187/(XLOOKUP(A187,Lotes!$A$4:$A$8,Lotes!$D$4:$D$8,Premissas!$B$9)+Q187+R187),0)</x:f>
        <x:v>0.6198672281272279</x:v>
      </x:c>
      <x:c r="Z187" s="20" t="n">
        <x:f>IF(L187=0,Y187,Y187/MAX(1,L187/Premissas!$B$7))</x:f>
        <x:v>0.14686085097168167</x:v>
      </x:c>
      <x:c r="AA187" s="19" t="str">
        <x:f>IF(L187=0,"Venda imediata",IF(L187&lt;=60,"Baixo",IF(L187&lt;=120,"Médio","Alto")))</x:f>
        <x:v>Alto</x:v>
      </x:c>
      <x:c r="AB187" s="19" t="str">
        <x:f>IF(U187&lt;0,"Não fazer",IF(AA187="Alto","Risco seca",IF(Z187&gt;=0.03,"Bom giro","Margem ok")))</x:f>
        <x:v>Risco seca</x:v>
      </x:c>
    </x:row>
    <x:row r="188">
      <x:c r="A188" s="19" t="str">
        <x:v>Grupo médio 7,75@</x:v>
      </x:c>
      <x:c r="B188" s="19" t="str">
        <x:v>Econômica</x:v>
      </x:c>
      <x:c r="C188" s="19" t="str">
        <x:v>Ótimo</x:v>
      </x:c>
      <x:c r="D188" s="19" t="n">
        <x:v>12</x:v>
      </x:c>
      <x:c r="E188" s="21" t="n">
        <x:f>Premissas!$B$6</x:f>
        <x:v>330</x:v>
      </x:c>
      <x:c r="F188" s="19" t="n">
        <x:f>XLOOKUP(A188,Lotes!$A$4:$A$8,Lotes!$B$4:$B$8,0)</x:f>
        <x:v>0</x:v>
      </x:c>
      <x:c r="G188" s="23" t="n">
        <x:f>XLOOKUP(A188,Lotes!$A$4:$A$8,Lotes!$C$4:$C$8,0)</x:f>
        <x:v>7.75</x:v>
      </x:c>
      <x:c r="H188" s="23" t="n">
        <x:f>G188*Premissas!$B$5/Premissas!$B$4</x:f>
        <x:v>211.36363636363635</x:v>
      </x:c>
      <x:c r="I188" s="23" t="n">
        <x:f>D188*Premissas!$B$5/Premissas!$B$4</x:f>
        <x:v>327.27272727272725</x:v>
      </x:c>
      <x:c r="J188" s="23" t="n">
        <x:f>MAX(0,I188-H188)</x:f>
        <x:v>115.9090909090909</x:v>
      </x:c>
      <x:c r="K188" s="23" t="n">
        <x:f>SUMIFS('Cenários de GMD'!$C$4:$C$19,'Cenários de GMD'!$A$4:$A$19,B188,'Cenários de GMD'!$B$4:$B$19,C188)</x:f>
        <x:v>0.7</x:v>
      </x:c>
      <x:c r="L188" s="23" t="n">
        <x:f>IF(J188=0,0,J188/K188)</x:f>
        <x:v>165.58441558441558</x:v>
      </x:c>
      <x:c r="M188" s="23" t="n">
        <x:f>((H188+I188)/2)*SUMIFS('Cenários de GMD'!$D$4:$D$19,'Cenários de GMD'!$A$4:$A$19,B188,'Cenários de GMD'!$B$4:$B$19,C188)</x:f>
        <x:v>0.26931818181818185</x:v>
      </x:c>
      <x:c r="N188" s="23" t="n">
        <x:f>((H188+I188)/2)*SUMIFS('Cenários de GMD'!$E$4:$E$19,'Cenários de GMD'!$A$4:$A$19,B188,'Cenários de GMD'!$B$4:$B$19,C188)</x:f>
        <x:v>0.8079545454545455</x:v>
      </x:c>
      <x:c r="O188" s="21" t="n">
        <x:f>M188*Insumos!$E$4+N188*Insumos!$E$5</x:f>
        <x:v>2.420093181818182</x:v>
      </x:c>
      <x:c r="P188" s="21" t="n">
        <x:f>O188*Premissas!$B$7</x:f>
        <x:v>72.60279545454546</x:v>
      </x:c>
      <x:c r="Q188" s="21" t="n">
        <x:f>O188*L188</x:f>
        <x:v>400.7297151711924</x:v>
      </x:c>
      <x:c r="R188" s="21" t="n">
        <x:f>Premissas!$B$7*Premissas!$B$8*L188</x:f>
        <x:v>0</x:v>
      </x:c>
      <x:c r="S188" s="21" t="n">
        <x:f>D188*E188</x:f>
        <x:v>3960</x:v>
      </x:c>
      <x:c r="T188" s="21" t="n">
        <x:f>S188*F188</x:f>
        <x:v>0</x:v>
      </x:c>
      <x:c r="U188" s="21" t="n">
        <x:f>S188-XLOOKUP(A188,Lotes!$A$4:$A$8,Lotes!$D$4:$D$8,Premissas!$B$9)-Q188-R188</x:f>
        <x:v>1609.2702848288077</x:v>
      </x:c>
      <x:c r="V188" s="21" t="n">
        <x:f>U188*F188</x:f>
        <x:v>0</x:v>
      </x:c>
      <x:c r="W188" s="20" t="n">
        <x:f>IF(S188=0,0,U188/S188)</x:f>
        <x:v>0.4063813850577797</x:v>
      </x:c>
      <x:c r="X188" s="21" t="n">
        <x:f>IF(D188-G188&lt;=0,0,Q188/(D188-G188))</x:f>
        <x:v>94.28934474616293</x:v>
      </x:c>
      <x:c r="Y188" s="20" t="n">
        <x:f>IFERROR(U188/(XLOOKUP(A188,Lotes!$A$4:$A$8,Lotes!$D$4:$D$8,Premissas!$B$9)+Q188+R188),0)</x:f>
        <x:v>0.6845832910703697</x:v>
      </x:c>
      <x:c r="Z188" s="20" t="n">
        <x:f>IF(L188=0,Y188,Y188/MAX(1,L188/Premissas!$B$7))</x:f>
        <x:v>0.12403038449980816</x:v>
      </x:c>
      <x:c r="AA188" s="19" t="str">
        <x:f>IF(L188=0,"Venda imediata",IF(L188&lt;=60,"Baixo",IF(L188&lt;=120,"Médio","Alto")))</x:f>
        <x:v>Alto</x:v>
      </x:c>
      <x:c r="AB188" s="19" t="str">
        <x:f>IF(U188&lt;0,"Não fazer",IF(AA188="Alto","Risco seca",IF(Z188&gt;=0.03,"Bom giro","Margem ok")))</x:f>
        <x:v>Risco seca</x:v>
      </x:c>
    </x:row>
    <x:row r="189">
      <x:c r="A189" s="19" t="str">
        <x:v>Grupo médio 7,75@</x:v>
      </x:c>
      <x:c r="B189" s="19" t="str">
        <x:v>Intermediária</x:v>
      </x:c>
      <x:c r="C189" s="19" t="str">
        <x:v>Conservador</x:v>
      </x:c>
      <x:c r="D189" s="19" t="n">
        <x:v>8.5</x:v>
      </x:c>
      <x:c r="E189" s="21" t="n">
        <x:f>Premissas!$B$6</x:f>
        <x:v>330</x:v>
      </x:c>
      <x:c r="F189" s="19" t="n">
        <x:f>XLOOKUP(A189,Lotes!$A$4:$A$8,Lotes!$B$4:$B$8,0)</x:f>
        <x:v>0</x:v>
      </x:c>
      <x:c r="G189" s="23" t="n">
        <x:f>XLOOKUP(A189,Lotes!$A$4:$A$8,Lotes!$C$4:$C$8,0)</x:f>
        <x:v>7.75</x:v>
      </x:c>
      <x:c r="H189" s="23" t="n">
        <x:f>G189*Premissas!$B$5/Premissas!$B$4</x:f>
        <x:v>211.36363636363635</x:v>
      </x:c>
      <x:c r="I189" s="23" t="n">
        <x:f>D189*Premissas!$B$5/Premissas!$B$4</x:f>
        <x:v>231.8181818181818</x:v>
      </x:c>
      <x:c r="J189" s="23" t="n">
        <x:f>MAX(0,I189-H189)</x:f>
        <x:v>20.454545454545467</x:v>
      </x:c>
      <x:c r="K189" s="23" t="n">
        <x:f>SUMIFS('Cenários de GMD'!$C$4:$C$19,'Cenários de GMD'!$A$4:$A$19,B189,'Cenários de GMD'!$B$4:$B$19,C189)</x:f>
        <x:v>0.55</x:v>
      </x:c>
      <x:c r="L189" s="23" t="n">
        <x:f>IF(J189=0,0,J189/K189)</x:f>
        <x:v>37.19008264462812</x:v>
      </x:c>
      <x:c r="M189" s="23" t="n">
        <x:f>((H189+I189)/2)*SUMIFS('Cenários de GMD'!$D$4:$D$19,'Cenários de GMD'!$A$4:$A$19,B189,'Cenários de GMD'!$B$4:$B$19,C189)</x:f>
        <x:v>0.22159090909090906</x:v>
      </x:c>
      <x:c r="N189" s="23" t="n">
        <x:f>((H189+I189)/2)*SUMIFS('Cenários de GMD'!$E$4:$E$19,'Cenários de GMD'!$A$4:$A$19,B189,'Cenários de GMD'!$B$4:$B$19,C189)</x:f>
        <x:v>1.1079545454545454</x:v>
      </x:c>
      <x:c r="O189" s="21" t="n">
        <x:f>M189*Insumos!$E$4+N189*Insumos!$E$5</x:f>
        <x:v>2.8701931818181814</x:v>
      </x:c>
      <x:c r="P189" s="21" t="n">
        <x:f>O189*Premissas!$B$7</x:f>
        <x:v>86.10579545454544</x:v>
      </x:c>
      <x:c r="Q189" s="21" t="n">
        <x:f>O189*L189</x:f>
        <x:v>106.74272163786631</x:v>
      </x:c>
      <x:c r="R189" s="21" t="n">
        <x:f>Premissas!$B$7*Premissas!$B$8*L189</x:f>
        <x:v>0</x:v>
      </x:c>
      <x:c r="S189" s="21" t="n">
        <x:f>D189*E189</x:f>
        <x:v>2805</x:v>
      </x:c>
      <x:c r="T189" s="21" t="n">
        <x:f>S189*F189</x:f>
        <x:v>0</x:v>
      </x:c>
      <x:c r="U189" s="21" t="n">
        <x:f>S189-XLOOKUP(A189,Lotes!$A$4:$A$8,Lotes!$D$4:$D$8,Premissas!$B$9)-Q189-R189</x:f>
        <x:v>748.2572783621337</x:v>
      </x:c>
      <x:c r="V189" s="21" t="n">
        <x:f>U189*F189</x:f>
        <x:v>0</x:v>
      </x:c>
      <x:c r="W189" s="20" t="n">
        <x:f>IF(S189=0,0,U189/S189)</x:f>
        <x:v>0.2667583880078908</x:v>
      </x:c>
      <x:c r="X189" s="21" t="n">
        <x:f>IF(D189-G189&lt;=0,0,Q189/(D189-G189))</x:f>
        <x:v>142.3236288504884</x:v>
      </x:c>
      <x:c r="Y189" s="20" t="n">
        <x:f>IFERROR(U189/(XLOOKUP(A189,Lotes!$A$4:$A$8,Lotes!$D$4:$D$8,Premissas!$B$9)+Q189+R189),0)</x:f>
        <x:v>0.3638069411842948</x:v>
      </x:c>
      <x:c r="Z189" s="20" t="n">
        <x:f>IF(L189=0,Y189,Y189/MAX(1,L189/Premissas!$B$7))</x:f>
        <x:v>0.29347093255533097</x:v>
      </x:c>
      <x:c r="AA189" s="19" t="str">
        <x:f>IF(L189=0,"Venda imediata",IF(L189&lt;=60,"Baixo",IF(L189&lt;=120,"Médio","Alto")))</x:f>
        <x:v>Baixo</x:v>
      </x:c>
      <x:c r="AB189" s="19" t="str">
        <x:f>IF(U189&lt;0,"Não fazer",IF(AA189="Alto","Risco seca",IF(Z189&gt;=0.03,"Bom giro","Margem ok")))</x:f>
        <x:v>Bom giro</x:v>
      </x:c>
    </x:row>
    <x:row r="190">
      <x:c r="A190" s="19" t="str">
        <x:v>Grupo médio 7,75@</x:v>
      </x:c>
      <x:c r="B190" s="19" t="str">
        <x:v>Intermediária</x:v>
      </x:c>
      <x:c r="C190" s="19" t="str">
        <x:v>Conservador</x:v>
      </x:c>
      <x:c r="D190" s="19" t="n">
        <x:v>9</x:v>
      </x:c>
      <x:c r="E190" s="21" t="n">
        <x:f>Premissas!$B$6</x:f>
        <x:v>330</x:v>
      </x:c>
      <x:c r="F190" s="19" t="n">
        <x:f>XLOOKUP(A190,Lotes!$A$4:$A$8,Lotes!$B$4:$B$8,0)</x:f>
        <x:v>0</x:v>
      </x:c>
      <x:c r="G190" s="23" t="n">
        <x:f>XLOOKUP(A190,Lotes!$A$4:$A$8,Lotes!$C$4:$C$8,0)</x:f>
        <x:v>7.75</x:v>
      </x:c>
      <x:c r="H190" s="23" t="n">
        <x:f>G190*Premissas!$B$5/Premissas!$B$4</x:f>
        <x:v>211.36363636363635</x:v>
      </x:c>
      <x:c r="I190" s="23" t="n">
        <x:f>D190*Premissas!$B$5/Premissas!$B$4</x:f>
        <x:v>245.45454545454544</x:v>
      </x:c>
      <x:c r="J190" s="23" t="n">
        <x:f>MAX(0,I190-H190)</x:f>
        <x:v>34.09090909090909</x:v>
      </x:c>
      <x:c r="K190" s="23" t="n">
        <x:f>SUMIFS('Cenários de GMD'!$C$4:$C$19,'Cenários de GMD'!$A$4:$A$19,B190,'Cenários de GMD'!$B$4:$B$19,C190)</x:f>
        <x:v>0.55</x:v>
      </x:c>
      <x:c r="L190" s="23" t="n">
        <x:f>IF(J190=0,0,J190/K190)</x:f>
        <x:v>61.98347107438016</x:v>
      </x:c>
      <x:c r="M190" s="23" t="n">
        <x:f>((H190+I190)/2)*SUMIFS('Cenários de GMD'!$D$4:$D$19,'Cenários de GMD'!$A$4:$A$19,B190,'Cenários de GMD'!$B$4:$B$19,C190)</x:f>
        <x:v>0.2284090909090909</x:v>
      </x:c>
      <x:c r="N190" s="23" t="n">
        <x:f>((H190+I190)/2)*SUMIFS('Cenários de GMD'!$E$4:$E$19,'Cenários de GMD'!$A$4:$A$19,B190,'Cenários de GMD'!$B$4:$B$19,C190)</x:f>
        <x:v>1.1420454545454544</x:v>
      </x:c>
      <x:c r="O190" s="21" t="n">
        <x:f>M190*Insumos!$E$4+N190*Insumos!$E$5</x:f>
        <x:v>2.9585068181818177</x:v>
      </x:c>
      <x:c r="P190" s="21" t="n">
        <x:f>O190*Premissas!$B$7</x:f>
        <x:v>88.75520454545453</x:v>
      </x:c>
      <x:c r="Q190" s="21" t="n">
        <x:f>O190*L190</x:f>
        <x:v>183.37852178812918</x:v>
      </x:c>
      <x:c r="R190" s="21" t="n">
        <x:f>Premissas!$B$7*Premissas!$B$8*L190</x:f>
        <x:v>0</x:v>
      </x:c>
      <x:c r="S190" s="21" t="n">
        <x:f>D190*E190</x:f>
        <x:v>2970</x:v>
      </x:c>
      <x:c r="T190" s="21" t="n">
        <x:f>S190*F190</x:f>
        <x:v>0</x:v>
      </x:c>
      <x:c r="U190" s="21" t="n">
        <x:f>S190-XLOOKUP(A190,Lotes!$A$4:$A$8,Lotes!$D$4:$D$8,Premissas!$B$9)-Q190-R190</x:f>
        <x:v>836.6214782118708</x:v>
      </x:c>
      <x:c r="V190" s="21" t="n">
        <x:f>U190*F190</x:f>
        <x:v>0</x:v>
      </x:c>
      <x:c r="W190" s="20" t="n">
        <x:f>IF(S190=0,0,U190/S190)</x:f>
        <x:v>0.2816907334046703</x:v>
      </x:c>
      <x:c r="X190" s="21" t="n">
        <x:f>IF(D190-G190&lt;=0,0,Q190/(D190-G190))</x:f>
        <x:v>146.70281743050333</x:v>
      </x:c>
      <x:c r="Y190" s="20" t="n">
        <x:f>IFERROR(U190/(XLOOKUP(A190,Lotes!$A$4:$A$8,Lotes!$D$4:$D$8,Premissas!$B$9)+Q190+R190),0)</x:f>
        <x:v>0.39215801118623883</x:v>
      </x:c>
      <x:c r="Z190" s="20" t="n">
        <x:f>IF(L190=0,Y190,Y190/MAX(1,L190/Premissas!$B$7))</x:f>
        <x:v>0.1898044774141396</x:v>
      </x:c>
      <x:c r="AA190" s="19" t="str">
        <x:f>IF(L190=0,"Venda imediata",IF(L190&lt;=60,"Baixo",IF(L190&lt;=120,"Médio","Alto")))</x:f>
        <x:v>Médio</x:v>
      </x:c>
      <x:c r="AB190" s="19" t="str">
        <x:f>IF(U190&lt;0,"Não fazer",IF(AA190="Alto","Risco seca",IF(Z190&gt;=0.03,"Bom giro","Margem ok")))</x:f>
        <x:v>Bom giro</x:v>
      </x:c>
    </x:row>
    <x:row r="191">
      <x:c r="A191" s="19" t="str">
        <x:v>Grupo médio 7,75@</x:v>
      </x:c>
      <x:c r="B191" s="19" t="str">
        <x:v>Intermediária</x:v>
      </x:c>
      <x:c r="C191" s="19" t="str">
        <x:v>Conservador</x:v>
      </x:c>
      <x:c r="D191" s="19" t="n">
        <x:v>10.5</x:v>
      </x:c>
      <x:c r="E191" s="21" t="n">
        <x:f>Premissas!$B$6</x:f>
        <x:v>330</x:v>
      </x:c>
      <x:c r="F191" s="19" t="n">
        <x:f>XLOOKUP(A191,Lotes!$A$4:$A$8,Lotes!$B$4:$B$8,0)</x:f>
        <x:v>0</x:v>
      </x:c>
      <x:c r="G191" s="23" t="n">
        <x:f>XLOOKUP(A191,Lotes!$A$4:$A$8,Lotes!$C$4:$C$8,0)</x:f>
        <x:v>7.75</x:v>
      </x:c>
      <x:c r="H191" s="23" t="n">
        <x:f>G191*Premissas!$B$5/Premissas!$B$4</x:f>
        <x:v>211.36363636363635</x:v>
      </x:c>
      <x:c r="I191" s="23" t="n">
        <x:f>D191*Premissas!$B$5/Premissas!$B$4</x:f>
        <x:v>286.3636363636363</x:v>
      </x:c>
      <x:c r="J191" s="23" t="n">
        <x:f>MAX(0,I191-H191)</x:f>
        <x:v>74.99999999999997</x:v>
      </x:c>
      <x:c r="K191" s="23" t="n">
        <x:f>SUMIFS('Cenários de GMD'!$C$4:$C$19,'Cenários de GMD'!$A$4:$A$19,B191,'Cenários de GMD'!$B$4:$B$19,C191)</x:f>
        <x:v>0.55</x:v>
      </x:c>
      <x:c r="L191" s="23" t="n">
        <x:f>IF(J191=0,0,J191/K191)</x:f>
        <x:v>136.3636363636363</x:v>
      </x:c>
      <x:c r="M191" s="23" t="n">
        <x:f>((H191+I191)/2)*SUMIFS('Cenários de GMD'!$D$4:$D$19,'Cenários de GMD'!$A$4:$A$19,B191,'Cenários de GMD'!$B$4:$B$19,C191)</x:f>
        <x:v>0.24886363636363631</x:v>
      </x:c>
      <x:c r="N191" s="23" t="n">
        <x:f>((H191+I191)/2)*SUMIFS('Cenários de GMD'!$E$4:$E$19,'Cenários de GMD'!$A$4:$A$19,B191,'Cenários de GMD'!$B$4:$B$19,C191)</x:f>
        <x:v>1.2443181818181817</x:v>
      </x:c>
      <x:c r="O191" s="21" t="n">
        <x:f>M191*Insumos!$E$4+N191*Insumos!$E$5</x:f>
        <x:v>3.223447727272727</x:v>
      </x:c>
      <x:c r="P191" s="21" t="n">
        <x:f>O191*Premissas!$B$7</x:f>
        <x:v>96.70343181818181</x:v>
      </x:c>
      <x:c r="Q191" s="21" t="n">
        <x:f>O191*L191</x:f>
        <x:v>439.561053719008</x:v>
      </x:c>
      <x:c r="R191" s="21" t="n">
        <x:f>Premissas!$B$7*Premissas!$B$8*L191</x:f>
        <x:v>0</x:v>
      </x:c>
      <x:c r="S191" s="21" t="n">
        <x:f>D191*E191</x:f>
        <x:v>3465</x:v>
      </x:c>
      <x:c r="T191" s="21" t="n">
        <x:f>S191*F191</x:f>
        <x:v>0</x:v>
      </x:c>
      <x:c r="U191" s="21" t="n">
        <x:f>S191-XLOOKUP(A191,Lotes!$A$4:$A$8,Lotes!$D$4:$D$8,Premissas!$B$9)-Q191-R191</x:f>
        <x:v>1075.438946280992</x:v>
      </x:c>
      <x:c r="V191" s="21" t="n">
        <x:f>U191*F191</x:f>
        <x:v>0</x:v>
      </x:c>
      <x:c r="W191" s="20" t="n">
        <x:f>IF(S191=0,0,U191/S191)</x:f>
        <x:v>0.31037199026868456</x:v>
      </x:c>
      <x:c r="X191" s="21" t="n">
        <x:f>IF(D191-G191&lt;=0,0,Q191/(D191-G191))</x:f>
        <x:v>159.84038317054836</x:v>
      </x:c>
      <x:c r="Y191" s="20" t="n">
        <x:f>IFERROR(U191/(XLOOKUP(A191,Lotes!$A$4:$A$8,Lotes!$D$4:$D$8,Premissas!$B$9)+Q191+R191),0)</x:f>
        <x:v>0.45005711178930796</x:v>
      </x:c>
      <x:c r="Z191" s="20" t="n">
        <x:f>IF(L191=0,Y191,Y191/MAX(1,L191/Premissas!$B$7))</x:f>
        <x:v>0.0990125645936478</x:v>
      </x:c>
      <x:c r="AA191" s="19" t="str">
        <x:f>IF(L191=0,"Venda imediata",IF(L191&lt;=60,"Baixo",IF(L191&lt;=120,"Médio","Alto")))</x:f>
        <x:v>Alto</x:v>
      </x:c>
      <x:c r="AB191" s="19" t="str">
        <x:f>IF(U191&lt;0,"Não fazer",IF(AA191="Alto","Risco seca",IF(Z191&gt;=0.03,"Bom giro","Margem ok")))</x:f>
        <x:v>Risco seca</x:v>
      </x:c>
    </x:row>
    <x:row r="192">
      <x:c r="A192" s="19" t="str">
        <x:v>Grupo médio 7,75@</x:v>
      </x:c>
      <x:c r="B192" s="19" t="str">
        <x:v>Intermediária</x:v>
      </x:c>
      <x:c r="C192" s="19" t="str">
        <x:v>Conservador</x:v>
      </x:c>
      <x:c r="D192" s="19" t="n">
        <x:v>11</x:v>
      </x:c>
      <x:c r="E192" s="21" t="n">
        <x:f>Premissas!$B$6</x:f>
        <x:v>330</x:v>
      </x:c>
      <x:c r="F192" s="19" t="n">
        <x:f>XLOOKUP(A192,Lotes!$A$4:$A$8,Lotes!$B$4:$B$8,0)</x:f>
        <x:v>0</x:v>
      </x:c>
      <x:c r="G192" s="23" t="n">
        <x:f>XLOOKUP(A192,Lotes!$A$4:$A$8,Lotes!$C$4:$C$8,0)</x:f>
        <x:v>7.75</x:v>
      </x:c>
      <x:c r="H192" s="23" t="n">
        <x:f>G192*Premissas!$B$5/Premissas!$B$4</x:f>
        <x:v>211.36363636363635</x:v>
      </x:c>
      <x:c r="I192" s="23" t="n">
        <x:f>D192*Premissas!$B$5/Premissas!$B$4</x:f>
        <x:v>300</x:v>
      </x:c>
      <x:c r="J192" s="23" t="n">
        <x:f>MAX(0,I192-H192)</x:f>
        <x:v>88.63636363636365</x:v>
      </x:c>
      <x:c r="K192" s="23" t="n">
        <x:f>SUMIFS('Cenários de GMD'!$C$4:$C$19,'Cenários de GMD'!$A$4:$A$19,B192,'Cenários de GMD'!$B$4:$B$19,C192)</x:f>
        <x:v>0.55</x:v>
      </x:c>
      <x:c r="L192" s="23" t="n">
        <x:f>IF(J192=0,0,J192/K192)</x:f>
        <x:v>161.15702479338844</x:v>
      </x:c>
      <x:c r="M192" s="23" t="n">
        <x:f>((H192+I192)/2)*SUMIFS('Cenários de GMD'!$D$4:$D$19,'Cenários de GMD'!$A$4:$A$19,B192,'Cenários de GMD'!$B$4:$B$19,C192)</x:f>
        <x:v>0.2556818181818182</x:v>
      </x:c>
      <x:c r="N192" s="23" t="n">
        <x:f>((H192+I192)/2)*SUMIFS('Cenários de GMD'!$E$4:$E$19,'Cenários de GMD'!$A$4:$A$19,B192,'Cenários de GMD'!$B$4:$B$19,C192)</x:f>
        <x:v>1.278409090909091</x:v>
      </x:c>
      <x:c r="O192" s="21" t="n">
        <x:f>M192*Insumos!$E$4+N192*Insumos!$E$5</x:f>
        <x:v>3.3117613636363643</x:v>
      </x:c>
      <x:c r="P192" s="21" t="n">
        <x:f>O192*Premissas!$B$7</x:f>
        <x:v>99.35284090909093</x:v>
      </x:c>
      <x:c r="Q192" s="21" t="n">
        <x:f>O192*L192</x:f>
        <x:v>533.7136081893315</x:v>
      </x:c>
      <x:c r="R192" s="21" t="n">
        <x:f>Premissas!$B$7*Premissas!$B$8*L192</x:f>
        <x:v>0</x:v>
      </x:c>
      <x:c r="S192" s="21" t="n">
        <x:f>D192*E192</x:f>
        <x:v>3630</x:v>
      </x:c>
      <x:c r="T192" s="21" t="n">
        <x:f>S192*F192</x:f>
        <x:v>0</x:v>
      </x:c>
      <x:c r="U192" s="21" t="n">
        <x:f>S192-XLOOKUP(A192,Lotes!$A$4:$A$8,Lotes!$D$4:$D$8,Premissas!$B$9)-Q192-R192</x:f>
        <x:v>1146.2863918106686</x:v>
      </x:c>
      <x:c r="V192" s="21" t="n">
        <x:f>U192*F192</x:f>
        <x:v>0</x:v>
      </x:c>
      <x:c r="W192" s="20" t="n">
        <x:f>IF(S192=0,0,U192/S192)</x:f>
        <x:v>0.31578137515445415</x:v>
      </x:c>
      <x:c r="X192" s="21" t="n">
        <x:f>IF(D192-G192&lt;=0,0,Q192/(D192-G192))</x:f>
        <x:v>164.21957175056352</x:v>
      </x:c>
      <x:c r="Y192" s="20" t="n">
        <x:f>IFERROR(U192/(XLOOKUP(A192,Lotes!$A$4:$A$8,Lotes!$D$4:$D$8,Premissas!$B$9)+Q192+R192),0)</x:f>
        <x:v>0.46152116251693387</x:v>
      </x:c>
      <x:c r="Z192" s="20" t="n">
        <x:f>IF(L192=0,Y192,Y192/MAX(1,L192/Premissas!$B$7))</x:f>
        <x:v>0.08591393948392154</x:v>
      </x:c>
      <x:c r="AA192" s="19" t="str">
        <x:f>IF(L192=0,"Venda imediata",IF(L192&lt;=60,"Baixo",IF(L192&lt;=120,"Médio","Alto")))</x:f>
        <x:v>Alto</x:v>
      </x:c>
      <x:c r="AB192" s="19" t="str">
        <x:f>IF(U192&lt;0,"Não fazer",IF(AA192="Alto","Risco seca",IF(Z192&gt;=0.03,"Bom giro","Margem ok")))</x:f>
        <x:v>Risco seca</x:v>
      </x:c>
    </x:row>
    <x:row r="193">
      <x:c r="A193" s="19" t="str">
        <x:v>Grupo médio 7,75@</x:v>
      </x:c>
      <x:c r="B193" s="19" t="str">
        <x:v>Intermediária</x:v>
      </x:c>
      <x:c r="C193" s="19" t="str">
        <x:v>Conservador</x:v>
      </x:c>
      <x:c r="D193" s="19" t="n">
        <x:v>12</x:v>
      </x:c>
      <x:c r="E193" s="21" t="n">
        <x:f>Premissas!$B$6</x:f>
        <x:v>330</x:v>
      </x:c>
      <x:c r="F193" s="19" t="n">
        <x:f>XLOOKUP(A193,Lotes!$A$4:$A$8,Lotes!$B$4:$B$8,0)</x:f>
        <x:v>0</x:v>
      </x:c>
      <x:c r="G193" s="23" t="n">
        <x:f>XLOOKUP(A193,Lotes!$A$4:$A$8,Lotes!$C$4:$C$8,0)</x:f>
        <x:v>7.75</x:v>
      </x:c>
      <x:c r="H193" s="23" t="n">
        <x:f>G193*Premissas!$B$5/Premissas!$B$4</x:f>
        <x:v>211.36363636363635</x:v>
      </x:c>
      <x:c r="I193" s="23" t="n">
        <x:f>D193*Premissas!$B$5/Premissas!$B$4</x:f>
        <x:v>327.27272727272725</x:v>
      </x:c>
      <x:c r="J193" s="23" t="n">
        <x:f>MAX(0,I193-H193)</x:f>
        <x:v>115.9090909090909</x:v>
      </x:c>
      <x:c r="K193" s="23" t="n">
        <x:f>SUMIFS('Cenários de GMD'!$C$4:$C$19,'Cenários de GMD'!$A$4:$A$19,B193,'Cenários de GMD'!$B$4:$B$19,C193)</x:f>
        <x:v>0.55</x:v>
      </x:c>
      <x:c r="L193" s="23" t="n">
        <x:f>IF(J193=0,0,J193/K193)</x:f>
        <x:v>210.74380165289253</x:v>
      </x:c>
      <x:c r="M193" s="23" t="n">
        <x:f>((H193+I193)/2)*SUMIFS('Cenários de GMD'!$D$4:$D$19,'Cenários de GMD'!$A$4:$A$19,B193,'Cenários de GMD'!$B$4:$B$19,C193)</x:f>
        <x:v>0.26931818181818185</x:v>
      </x:c>
      <x:c r="N193" s="23" t="n">
        <x:f>((H193+I193)/2)*SUMIFS('Cenários de GMD'!$E$4:$E$19,'Cenários de GMD'!$A$4:$A$19,B193,'Cenários de GMD'!$B$4:$B$19,C193)</x:f>
        <x:v>1.3465909090909092</x:v>
      </x:c>
      <x:c r="O193" s="21" t="n">
        <x:f>M193*Insumos!$E$4+N193*Insumos!$E$5</x:f>
        <x:v>3.4883886363636365</x:v>
      </x:c>
      <x:c r="P193" s="21" t="n">
        <x:f>O193*Premissas!$B$7</x:f>
        <x:v>104.65165909090909</x:v>
      </x:c>
      <x:c r="Q193" s="21" t="n">
        <x:f>O193*L193</x:f>
        <x:v>735.1562828700224</x:v>
      </x:c>
      <x:c r="R193" s="21" t="n">
        <x:f>Premissas!$B$7*Premissas!$B$8*L193</x:f>
        <x:v>0</x:v>
      </x:c>
      <x:c r="S193" s="21" t="n">
        <x:f>D193*E193</x:f>
        <x:v>3960</x:v>
      </x:c>
      <x:c r="T193" s="21" t="n">
        <x:f>S193*F193</x:f>
        <x:v>0</x:v>
      </x:c>
      <x:c r="U193" s="21" t="n">
        <x:f>S193-XLOOKUP(A193,Lotes!$A$4:$A$8,Lotes!$D$4:$D$8,Premissas!$B$9)-Q193-R193</x:f>
        <x:v>1274.8437171299774</x:v>
      </x:c>
      <x:c r="V193" s="21" t="n">
        <x:f>U193*F193</x:f>
        <x:v>0</x:v>
      </x:c>
      <x:c r="W193" s="20" t="n">
        <x:f>IF(S193=0,0,U193/S193)</x:f>
        <x:v>0.32193023159847917</x:v>
      </x:c>
      <x:c r="X193" s="21" t="n">
        <x:f>IF(D193-G193&lt;=0,0,Q193/(D193-G193))</x:f>
        <x:v>172.9779489105935</x:v>
      </x:c>
      <x:c r="Y193" s="20" t="n">
        <x:f>IFERROR(U193/(XLOOKUP(A193,Lotes!$A$4:$A$8,Lotes!$D$4:$D$8,Premissas!$B$9)+Q193+R193),0)</x:f>
        <x:v>0.4747744946031089</x:v>
      </x:c>
      <x:c r="Z193" s="20" t="n">
        <x:f>IF(L193=0,Y193,Y193/MAX(1,L193/Premissas!$B$7))</x:f>
        <x:v>0.06758554570232492</x:v>
      </x:c>
      <x:c r="AA193" s="19" t="str">
        <x:f>IF(L193=0,"Venda imediata",IF(L193&lt;=60,"Baixo",IF(L193&lt;=120,"Médio","Alto")))</x:f>
        <x:v>Alto</x:v>
      </x:c>
      <x:c r="AB193" s="19" t="str">
        <x:f>IF(U193&lt;0,"Não fazer",IF(AA193="Alto","Risco seca",IF(Z193&gt;=0.03,"Bom giro","Margem ok")))</x:f>
        <x:v>Risco seca</x:v>
      </x:c>
    </x:row>
    <x:row r="194">
      <x:c r="A194" s="19" t="str">
        <x:v>Grupo médio 7,75@</x:v>
      </x:c>
      <x:c r="B194" s="19" t="str">
        <x:v>Intermediária</x:v>
      </x:c>
      <x:c r="C194" s="19" t="str">
        <x:v>Base</x:v>
      </x:c>
      <x:c r="D194" s="19" t="n">
        <x:v>8.5</x:v>
      </x:c>
      <x:c r="E194" s="21" t="n">
        <x:f>Premissas!$B$6</x:f>
        <x:v>330</x:v>
      </x:c>
      <x:c r="F194" s="19" t="n">
        <x:f>XLOOKUP(A194,Lotes!$A$4:$A$8,Lotes!$B$4:$B$8,0)</x:f>
        <x:v>0</x:v>
      </x:c>
      <x:c r="G194" s="23" t="n">
        <x:f>XLOOKUP(A194,Lotes!$A$4:$A$8,Lotes!$C$4:$C$8,0)</x:f>
        <x:v>7.75</x:v>
      </x:c>
      <x:c r="H194" s="23" t="n">
        <x:f>G194*Premissas!$B$5/Premissas!$B$4</x:f>
        <x:v>211.36363636363635</x:v>
      </x:c>
      <x:c r="I194" s="23" t="n">
        <x:f>D194*Premissas!$B$5/Premissas!$B$4</x:f>
        <x:v>231.8181818181818</x:v>
      </x:c>
      <x:c r="J194" s="23" t="n">
        <x:f>MAX(0,I194-H194)</x:f>
        <x:v>20.454545454545467</x:v>
      </x:c>
      <x:c r="K194" s="23" t="n">
        <x:f>SUMIFS('Cenários de GMD'!$C$4:$C$19,'Cenários de GMD'!$A$4:$A$19,B194,'Cenários de GMD'!$B$4:$B$19,C194)</x:f>
        <x:v>0.7</x:v>
      </x:c>
      <x:c r="L194" s="23" t="n">
        <x:f>IF(J194=0,0,J194/K194)</x:f>
        <x:v>29.220779220779242</x:v>
      </x:c>
      <x:c r="M194" s="23" t="n">
        <x:f>((H194+I194)/2)*SUMIFS('Cenários de GMD'!$D$4:$D$19,'Cenários de GMD'!$A$4:$A$19,B194,'Cenários de GMD'!$B$4:$B$19,C194)</x:f>
        <x:v>0.22159090909090906</x:v>
      </x:c>
      <x:c r="N194" s="23" t="n">
        <x:f>((H194+I194)/2)*SUMIFS('Cenários de GMD'!$E$4:$E$19,'Cenários de GMD'!$A$4:$A$19,B194,'Cenários de GMD'!$B$4:$B$19,C194)</x:f>
        <x:v>1.1079545454545454</x:v>
      </x:c>
      <x:c r="O194" s="21" t="n">
        <x:f>M194*Insumos!$E$4+N194*Insumos!$E$5</x:f>
        <x:v>2.8701931818181814</x:v>
      </x:c>
      <x:c r="P194" s="21" t="n">
        <x:f>O194*Premissas!$B$7</x:f>
        <x:v>86.10579545454544</x:v>
      </x:c>
      <x:c r="Q194" s="21" t="n">
        <x:f>O194*L194</x:f>
        <x:v>83.86928128689497</x:v>
      </x:c>
      <x:c r="R194" s="21" t="n">
        <x:f>Premissas!$B$7*Premissas!$B$8*L194</x:f>
        <x:v>0</x:v>
      </x:c>
      <x:c r="S194" s="21" t="n">
        <x:f>D194*E194</x:f>
        <x:v>2805</x:v>
      </x:c>
      <x:c r="T194" s="21" t="n">
        <x:f>S194*F194</x:f>
        <x:v>0</x:v>
      </x:c>
      <x:c r="U194" s="21" t="n">
        <x:f>S194-XLOOKUP(A194,Lotes!$A$4:$A$8,Lotes!$D$4:$D$8,Premissas!$B$9)-Q194-R194</x:f>
        <x:v>771.130718713105</x:v>
      </x:c>
      <x:c r="V194" s="21" t="n">
        <x:f>U194*F194</x:f>
        <x:v>0</x:v>
      </x:c>
      <x:c r="W194" s="20" t="n">
        <x:f>IF(S194=0,0,U194/S194)</x:f>
        <x:v>0.2749129121971854</x:v>
      </x:c>
      <x:c r="X194" s="21" t="n">
        <x:f>IF(D194-G194&lt;=0,0,Q194/(D194-G194))</x:f>
        <x:v>111.82570838252663</x:v>
      </x:c>
      <x:c r="Y194" s="20" t="n">
        <x:f>IFERROR(U194/(XLOOKUP(A194,Lotes!$A$4:$A$8,Lotes!$D$4:$D$8,Premissas!$B$9)+Q194+R194),0)</x:f>
        <x:v>0.37914468044140265</x:v>
      </x:c>
      <x:c r="Z194" s="20" t="n">
        <x:f>IF(L194=0,Y194,Y194/MAX(1,L194/Premissas!$B$7))</x:f>
        <x:v>0.37914468044140265</x:v>
      </x:c>
      <x:c r="AA194" s="19" t="str">
        <x:f>IF(L194=0,"Venda imediata",IF(L194&lt;=60,"Baixo",IF(L194&lt;=120,"Médio","Alto")))</x:f>
        <x:v>Baixo</x:v>
      </x:c>
      <x:c r="AB194" s="19" t="str">
        <x:f>IF(U194&lt;0,"Não fazer",IF(AA194="Alto","Risco seca",IF(Z194&gt;=0.03,"Bom giro","Margem ok")))</x:f>
        <x:v>Bom giro</x:v>
      </x:c>
    </x:row>
    <x:row r="195">
      <x:c r="A195" s="19" t="str">
        <x:v>Grupo médio 7,75@</x:v>
      </x:c>
      <x:c r="B195" s="19" t="str">
        <x:v>Intermediária</x:v>
      </x:c>
      <x:c r="C195" s="19" t="str">
        <x:v>Base</x:v>
      </x:c>
      <x:c r="D195" s="19" t="n">
        <x:v>9</x:v>
      </x:c>
      <x:c r="E195" s="21" t="n">
        <x:f>Premissas!$B$6</x:f>
        <x:v>330</x:v>
      </x:c>
      <x:c r="F195" s="19" t="n">
        <x:f>XLOOKUP(A195,Lotes!$A$4:$A$8,Lotes!$B$4:$B$8,0)</x:f>
        <x:v>0</x:v>
      </x:c>
      <x:c r="G195" s="23" t="n">
        <x:f>XLOOKUP(A195,Lotes!$A$4:$A$8,Lotes!$C$4:$C$8,0)</x:f>
        <x:v>7.75</x:v>
      </x:c>
      <x:c r="H195" s="23" t="n">
        <x:f>G195*Premissas!$B$5/Premissas!$B$4</x:f>
        <x:v>211.36363636363635</x:v>
      </x:c>
      <x:c r="I195" s="23" t="n">
        <x:f>D195*Premissas!$B$5/Premissas!$B$4</x:f>
        <x:v>245.45454545454544</x:v>
      </x:c>
      <x:c r="J195" s="23" t="n">
        <x:f>MAX(0,I195-H195)</x:f>
        <x:v>34.09090909090909</x:v>
      </x:c>
      <x:c r="K195" s="23" t="n">
        <x:f>SUMIFS('Cenários de GMD'!$C$4:$C$19,'Cenários de GMD'!$A$4:$A$19,B195,'Cenários de GMD'!$B$4:$B$19,C195)</x:f>
        <x:v>0.7</x:v>
      </x:c>
      <x:c r="L195" s="23" t="n">
        <x:f>IF(J195=0,0,J195/K195)</x:f>
        <x:v>48.70129870129871</x:v>
      </x:c>
      <x:c r="M195" s="23" t="n">
        <x:f>((H195+I195)/2)*SUMIFS('Cenários de GMD'!$D$4:$D$19,'Cenários de GMD'!$A$4:$A$19,B195,'Cenários de GMD'!$B$4:$B$19,C195)</x:f>
        <x:v>0.2284090909090909</x:v>
      </x:c>
      <x:c r="N195" s="23" t="n">
        <x:f>((H195+I195)/2)*SUMIFS('Cenários de GMD'!$E$4:$E$19,'Cenários de GMD'!$A$4:$A$19,B195,'Cenários de GMD'!$B$4:$B$19,C195)</x:f>
        <x:v>1.1420454545454544</x:v>
      </x:c>
      <x:c r="O195" s="21" t="n">
        <x:f>M195*Insumos!$E$4+N195*Insumos!$E$5</x:f>
        <x:v>2.9585068181818177</x:v>
      </x:c>
      <x:c r="P195" s="21" t="n">
        <x:f>O195*Premissas!$B$7</x:f>
        <x:v>88.75520454545453</x:v>
      </x:c>
      <x:c r="Q195" s="21" t="n">
        <x:f>O195*L195</x:f>
        <x:v>144.08312426210153</x:v>
      </x:c>
      <x:c r="R195" s="21" t="n">
        <x:f>Premissas!$B$7*Premissas!$B$8*L195</x:f>
        <x:v>0</x:v>
      </x:c>
      <x:c r="S195" s="21" t="n">
        <x:f>D195*E195</x:f>
        <x:v>2970</x:v>
      </x:c>
      <x:c r="T195" s="21" t="n">
        <x:f>S195*F195</x:f>
        <x:v>0</x:v>
      </x:c>
      <x:c r="U195" s="21" t="n">
        <x:f>S195-XLOOKUP(A195,Lotes!$A$4:$A$8,Lotes!$D$4:$D$8,Premissas!$B$9)-Q195-R195</x:f>
        <x:v>875.9168757378984</x:v>
      </x:c>
      <x:c r="V195" s="21" t="n">
        <x:f>U195*F195</x:f>
        <x:v>0</x:v>
      </x:c>
      <x:c r="W195" s="20" t="n">
        <x:f>IF(S195=0,0,U195/S195)</x:f>
        <x:v>0.2949215069824574</x:v>
      </x:c>
      <x:c r="X195" s="21" t="n">
        <x:f>IF(D195-G195&lt;=0,0,Q195/(D195-G195))</x:f>
        <x:v>115.26649940968123</x:v>
      </x:c>
      <x:c r="Y195" s="20" t="n">
        <x:f>IFERROR(U195/(XLOOKUP(A195,Lotes!$A$4:$A$8,Lotes!$D$4:$D$8,Premissas!$B$9)+Q195+R195),0)</x:f>
        <x:v>0.4182818082002107</x:v>
      </x:c>
      <x:c r="Z195" s="20" t="n">
        <x:f>IF(L195=0,Y195,Y195/MAX(1,L195/Premissas!$B$7))</x:f>
        <x:v>0.25766159385132975</x:v>
      </x:c>
      <x:c r="AA195" s="19" t="str">
        <x:f>IF(L195=0,"Venda imediata",IF(L195&lt;=60,"Baixo",IF(L195&lt;=120,"Médio","Alto")))</x:f>
        <x:v>Baixo</x:v>
      </x:c>
      <x:c r="AB195" s="19" t="str">
        <x:f>IF(U195&lt;0,"Não fazer",IF(AA195="Alto","Risco seca",IF(Z195&gt;=0.03,"Bom giro","Margem ok")))</x:f>
        <x:v>Bom giro</x:v>
      </x:c>
    </x:row>
    <x:row r="196">
      <x:c r="A196" s="19" t="str">
        <x:v>Grupo médio 7,75@</x:v>
      </x:c>
      <x:c r="B196" s="19" t="str">
        <x:v>Intermediária</x:v>
      </x:c>
      <x:c r="C196" s="19" t="str">
        <x:v>Base</x:v>
      </x:c>
      <x:c r="D196" s="19" t="n">
        <x:v>10.5</x:v>
      </x:c>
      <x:c r="E196" s="21" t="n">
        <x:f>Premissas!$B$6</x:f>
        <x:v>330</x:v>
      </x:c>
      <x:c r="F196" s="19" t="n">
        <x:f>XLOOKUP(A196,Lotes!$A$4:$A$8,Lotes!$B$4:$B$8,0)</x:f>
        <x:v>0</x:v>
      </x:c>
      <x:c r="G196" s="23" t="n">
        <x:f>XLOOKUP(A196,Lotes!$A$4:$A$8,Lotes!$C$4:$C$8,0)</x:f>
        <x:v>7.75</x:v>
      </x:c>
      <x:c r="H196" s="23" t="n">
        <x:f>G196*Premissas!$B$5/Premissas!$B$4</x:f>
        <x:v>211.36363636363635</x:v>
      </x:c>
      <x:c r="I196" s="23" t="n">
        <x:f>D196*Premissas!$B$5/Premissas!$B$4</x:f>
        <x:v>286.3636363636363</x:v>
      </x:c>
      <x:c r="J196" s="23" t="n">
        <x:f>MAX(0,I196-H196)</x:f>
        <x:v>74.99999999999997</x:v>
      </x:c>
      <x:c r="K196" s="23" t="n">
        <x:f>SUMIFS('Cenários de GMD'!$C$4:$C$19,'Cenários de GMD'!$A$4:$A$19,B196,'Cenários de GMD'!$B$4:$B$19,C196)</x:f>
        <x:v>0.7</x:v>
      </x:c>
      <x:c r="L196" s="23" t="n">
        <x:f>IF(J196=0,0,J196/K196)</x:f>
        <x:v>107.14285714285711</x:v>
      </x:c>
      <x:c r="M196" s="23" t="n">
        <x:f>((H196+I196)/2)*SUMIFS('Cenários de GMD'!$D$4:$D$19,'Cenários de GMD'!$A$4:$A$19,B196,'Cenários de GMD'!$B$4:$B$19,C196)</x:f>
        <x:v>0.24886363636363631</x:v>
      </x:c>
      <x:c r="N196" s="23" t="n">
        <x:f>((H196+I196)/2)*SUMIFS('Cenários de GMD'!$E$4:$E$19,'Cenários de GMD'!$A$4:$A$19,B196,'Cenários de GMD'!$B$4:$B$19,C196)</x:f>
        <x:v>1.2443181818181817</x:v>
      </x:c>
      <x:c r="O196" s="21" t="n">
        <x:f>M196*Insumos!$E$4+N196*Insumos!$E$5</x:f>
        <x:v>3.223447727272727</x:v>
      </x:c>
      <x:c r="P196" s="21" t="n">
        <x:f>O196*Premissas!$B$7</x:f>
        <x:v>96.70343181818181</x:v>
      </x:c>
      <x:c r="Q196" s="21" t="n">
        <x:f>O196*L196</x:f>
        <x:v>345.36939935064925</x:v>
      </x:c>
      <x:c r="R196" s="21" t="n">
        <x:f>Premissas!$B$7*Premissas!$B$8*L196</x:f>
        <x:v>0</x:v>
      </x:c>
      <x:c r="S196" s="21" t="n">
        <x:f>D196*E196</x:f>
        <x:v>3465</x:v>
      </x:c>
      <x:c r="T196" s="21" t="n">
        <x:f>S196*F196</x:f>
        <x:v>0</x:v>
      </x:c>
      <x:c r="U196" s="21" t="n">
        <x:f>S196-XLOOKUP(A196,Lotes!$A$4:$A$8,Lotes!$D$4:$D$8,Premissas!$B$9)-Q196-R196</x:f>
        <x:v>1169.6306006493508</x:v>
      </x:c>
      <x:c r="V196" s="21" t="n">
        <x:f>U196*F196</x:f>
        <x:v>0</x:v>
      </x:c>
      <x:c r="W196" s="20" t="n">
        <x:f>IF(S196=0,0,U196/S196)</x:f>
        <x:v>0.3375557289031315</x:v>
      </x:c>
      <x:c r="X196" s="21" t="n">
        <x:f>IF(D196-G196&lt;=0,0,Q196/(D196-G196))</x:f>
        <x:v>125.58887249114518</x:v>
      </x:c>
      <x:c r="Y196" s="20" t="n">
        <x:f>IFERROR(U196/(XLOOKUP(A196,Lotes!$A$4:$A$8,Lotes!$D$4:$D$8,Premissas!$B$9)+Q196+R196),0)</x:f>
        <x:v>0.5095609451708446</x:v>
      </x:c>
      <x:c r="Z196" s="20" t="n">
        <x:f>IF(L196=0,Y196,Y196/MAX(1,L196/Premissas!$B$7))</x:f>
        <x:v>0.14267706464783653</x:v>
      </x:c>
      <x:c r="AA196" s="19" t="str">
        <x:f>IF(L196=0,"Venda imediata",IF(L196&lt;=60,"Baixo",IF(L196&lt;=120,"Médio","Alto")))</x:f>
        <x:v>Médio</x:v>
      </x:c>
      <x:c r="AB196" s="19" t="str">
        <x:f>IF(U196&lt;0,"Não fazer",IF(AA196="Alto","Risco seca",IF(Z196&gt;=0.03,"Bom giro","Margem ok")))</x:f>
        <x:v>Bom giro</x:v>
      </x:c>
    </x:row>
    <x:row r="197">
      <x:c r="A197" s="19" t="str">
        <x:v>Grupo médio 7,75@</x:v>
      </x:c>
      <x:c r="B197" s="19" t="str">
        <x:v>Intermediária</x:v>
      </x:c>
      <x:c r="C197" s="19" t="str">
        <x:v>Base</x:v>
      </x:c>
      <x:c r="D197" s="19" t="n">
        <x:v>11</x:v>
      </x:c>
      <x:c r="E197" s="21" t="n">
        <x:f>Premissas!$B$6</x:f>
        <x:v>330</x:v>
      </x:c>
      <x:c r="F197" s="19" t="n">
        <x:f>XLOOKUP(A197,Lotes!$A$4:$A$8,Lotes!$B$4:$B$8,0)</x:f>
        <x:v>0</x:v>
      </x:c>
      <x:c r="G197" s="23" t="n">
        <x:f>XLOOKUP(A197,Lotes!$A$4:$A$8,Lotes!$C$4:$C$8,0)</x:f>
        <x:v>7.75</x:v>
      </x:c>
      <x:c r="H197" s="23" t="n">
        <x:f>G197*Premissas!$B$5/Premissas!$B$4</x:f>
        <x:v>211.36363636363635</x:v>
      </x:c>
      <x:c r="I197" s="23" t="n">
        <x:f>D197*Premissas!$B$5/Premissas!$B$4</x:f>
        <x:v>300</x:v>
      </x:c>
      <x:c r="J197" s="23" t="n">
        <x:f>MAX(0,I197-H197)</x:f>
        <x:v>88.63636363636365</x:v>
      </x:c>
      <x:c r="K197" s="23" t="n">
        <x:f>SUMIFS('Cenários de GMD'!$C$4:$C$19,'Cenários de GMD'!$A$4:$A$19,B197,'Cenários de GMD'!$B$4:$B$19,C197)</x:f>
        <x:v>0.7</x:v>
      </x:c>
      <x:c r="L197" s="23" t="n">
        <x:f>IF(J197=0,0,J197/K197)</x:f>
        <x:v>126.62337662337666</x:v>
      </x:c>
      <x:c r="M197" s="23" t="n">
        <x:f>((H197+I197)/2)*SUMIFS('Cenários de GMD'!$D$4:$D$19,'Cenários de GMD'!$A$4:$A$19,B197,'Cenários de GMD'!$B$4:$B$19,C197)</x:f>
        <x:v>0.2556818181818182</x:v>
      </x:c>
      <x:c r="N197" s="23" t="n">
        <x:f>((H197+I197)/2)*SUMIFS('Cenários de GMD'!$E$4:$E$19,'Cenários de GMD'!$A$4:$A$19,B197,'Cenários de GMD'!$B$4:$B$19,C197)</x:f>
        <x:v>1.278409090909091</x:v>
      </x:c>
      <x:c r="O197" s="21" t="n">
        <x:f>M197*Insumos!$E$4+N197*Insumos!$E$5</x:f>
        <x:v>3.3117613636363643</x:v>
      </x:c>
      <x:c r="P197" s="21" t="n">
        <x:f>O197*Premissas!$B$7</x:f>
        <x:v>99.35284090909093</x:v>
      </x:c>
      <x:c r="Q197" s="21" t="n">
        <x:f>O197*L197</x:f>
        <x:v>419.34640643447483</x:v>
      </x:c>
      <x:c r="R197" s="21" t="n">
        <x:f>Premissas!$B$7*Premissas!$B$8*L197</x:f>
        <x:v>0</x:v>
      </x:c>
      <x:c r="S197" s="21" t="n">
        <x:f>D197*E197</x:f>
        <x:v>3630</x:v>
      </x:c>
      <x:c r="T197" s="21" t="n">
        <x:f>S197*F197</x:f>
        <x:v>0</x:v>
      </x:c>
      <x:c r="U197" s="21" t="n">
        <x:f>S197-XLOOKUP(A197,Lotes!$A$4:$A$8,Lotes!$D$4:$D$8,Premissas!$B$9)-Q197-R197</x:f>
        <x:v>1260.6535935655252</x:v>
      </x:c>
      <x:c r="V197" s="21" t="n">
        <x:f>U197*F197</x:f>
        <x:v>0</x:v>
      </x:c>
      <x:c r="W197" s="20" t="n">
        <x:f>IF(S197=0,0,U197/S197)</x:f>
        <x:v>0.3472874913403651</x:v>
      </x:c>
      <x:c r="X197" s="21" t="n">
        <x:f>IF(D197-G197&lt;=0,0,Q197/(D197-G197))</x:f>
        <x:v>129.02966351829994</x:v>
      </x:c>
      <x:c r="Y197" s="20" t="n">
        <x:f>IFERROR(U197/(XLOOKUP(A197,Lotes!$A$4:$A$8,Lotes!$D$4:$D$8,Premissas!$B$9)+Q197+R197),0)</x:f>
        <x:v>0.5320680801008862</x:v>
      </x:c>
      <x:c r="Z197" s="20" t="n">
        <x:f>IF(L197=0,Y197,Y197/MAX(1,L197/Premissas!$B$7))</x:f>
        <x:v>0.1260592066700561</x:v>
      </x:c>
      <x:c r="AA197" s="19" t="str">
        <x:f>IF(L197=0,"Venda imediata",IF(L197&lt;=60,"Baixo",IF(L197&lt;=120,"Médio","Alto")))</x:f>
        <x:v>Alto</x:v>
      </x:c>
      <x:c r="AB197" s="19" t="str">
        <x:f>IF(U197&lt;0,"Não fazer",IF(AA197="Alto","Risco seca",IF(Z197&gt;=0.03,"Bom giro","Margem ok")))</x:f>
        <x:v>Risco seca</x:v>
      </x:c>
    </x:row>
    <x:row r="198">
      <x:c r="A198" s="19" t="str">
        <x:v>Grupo médio 7,75@</x:v>
      </x:c>
      <x:c r="B198" s="19" t="str">
        <x:v>Intermediária</x:v>
      </x:c>
      <x:c r="C198" s="19" t="str">
        <x:v>Base</x:v>
      </x:c>
      <x:c r="D198" s="19" t="n">
        <x:v>12</x:v>
      </x:c>
      <x:c r="E198" s="21" t="n">
        <x:f>Premissas!$B$6</x:f>
        <x:v>330</x:v>
      </x:c>
      <x:c r="F198" s="19" t="n">
        <x:f>XLOOKUP(A198,Lotes!$A$4:$A$8,Lotes!$B$4:$B$8,0)</x:f>
        <x:v>0</x:v>
      </x:c>
      <x:c r="G198" s="23" t="n">
        <x:f>XLOOKUP(A198,Lotes!$A$4:$A$8,Lotes!$C$4:$C$8,0)</x:f>
        <x:v>7.75</x:v>
      </x:c>
      <x:c r="H198" s="23" t="n">
        <x:f>G198*Premissas!$B$5/Premissas!$B$4</x:f>
        <x:v>211.36363636363635</x:v>
      </x:c>
      <x:c r="I198" s="23" t="n">
        <x:f>D198*Premissas!$B$5/Premissas!$B$4</x:f>
        <x:v>327.27272727272725</x:v>
      </x:c>
      <x:c r="J198" s="23" t="n">
        <x:f>MAX(0,I198-H198)</x:f>
        <x:v>115.9090909090909</x:v>
      </x:c>
      <x:c r="K198" s="23" t="n">
        <x:f>SUMIFS('Cenários de GMD'!$C$4:$C$19,'Cenários de GMD'!$A$4:$A$19,B198,'Cenários de GMD'!$B$4:$B$19,C198)</x:f>
        <x:v>0.7</x:v>
      </x:c>
      <x:c r="L198" s="23" t="n">
        <x:f>IF(J198=0,0,J198/K198)</x:f>
        <x:v>165.58441558441558</x:v>
      </x:c>
      <x:c r="M198" s="23" t="n">
        <x:f>((H198+I198)/2)*SUMIFS('Cenários de GMD'!$D$4:$D$19,'Cenários de GMD'!$A$4:$A$19,B198,'Cenários de GMD'!$B$4:$B$19,C198)</x:f>
        <x:v>0.26931818181818185</x:v>
      </x:c>
      <x:c r="N198" s="23" t="n">
        <x:f>((H198+I198)/2)*SUMIFS('Cenários de GMD'!$E$4:$E$19,'Cenários de GMD'!$A$4:$A$19,B198,'Cenários de GMD'!$B$4:$B$19,C198)</x:f>
        <x:v>1.3465909090909092</x:v>
      </x:c>
      <x:c r="O198" s="21" t="n">
        <x:f>M198*Insumos!$E$4+N198*Insumos!$E$5</x:f>
        <x:v>3.4883886363636365</x:v>
      </x:c>
      <x:c r="P198" s="21" t="n">
        <x:f>O198*Premissas!$B$7</x:f>
        <x:v>104.65165909090909</x:v>
      </x:c>
      <x:c r="Q198" s="21" t="n">
        <x:f>O198*L198</x:f>
        <x:v>577.6227936835892</x:v>
      </x:c>
      <x:c r="R198" s="21" t="n">
        <x:f>Premissas!$B$7*Premissas!$B$8*L198</x:f>
        <x:v>0</x:v>
      </x:c>
      <x:c r="S198" s="21" t="n">
        <x:f>D198*E198</x:f>
        <x:v>3960</x:v>
      </x:c>
      <x:c r="T198" s="21" t="n">
        <x:f>S198*F198</x:f>
        <x:v>0</x:v>
      </x:c>
      <x:c r="U198" s="21" t="n">
        <x:f>S198-XLOOKUP(A198,Lotes!$A$4:$A$8,Lotes!$D$4:$D$8,Premissas!$B$9)-Q198-R198</x:f>
        <x:v>1432.3772063164108</x:v>
      </x:c>
      <x:c r="V198" s="21" t="n">
        <x:f>U198*F198</x:f>
        <x:v>0</x:v>
      </x:c>
      <x:c r="W198" s="20" t="n">
        <x:f>IF(S198=0,0,U198/S198)</x:f>
        <x:v>0.36171141573646737</x:v>
      </x:c>
      <x:c r="X198" s="21" t="n">
        <x:f>IF(D198-G198&lt;=0,0,Q198/(D198-G198))</x:f>
        <x:v>135.91124557260923</x:v>
      </x:c>
      <x:c r="Y198" s="20" t="n">
        <x:f>IFERROR(U198/(XLOOKUP(A198,Lotes!$A$4:$A$8,Lotes!$D$4:$D$8,Premissas!$B$9)+Q198+R198),0)</x:f>
        <x:v>0.5666894640671283</x:v>
      </x:c>
      <x:c r="Z198" s="20" t="n">
        <x:f>IF(L198=0,Y198,Y198/MAX(1,L198/Premissas!$B$7))</x:f>
        <x:v>0.10267079701922088</x:v>
      </x:c>
      <x:c r="AA198" s="19" t="str">
        <x:f>IF(L198=0,"Venda imediata",IF(L198&lt;=60,"Baixo",IF(L198&lt;=120,"Médio","Alto")))</x:f>
        <x:v>Alto</x:v>
      </x:c>
      <x:c r="AB198" s="19" t="str">
        <x:f>IF(U198&lt;0,"Não fazer",IF(AA198="Alto","Risco seca",IF(Z198&gt;=0.03,"Bom giro","Margem ok")))</x:f>
        <x:v>Risco seca</x:v>
      </x:c>
    </x:row>
    <x:row r="199">
      <x:c r="A199" s="19" t="str">
        <x:v>Grupo médio 7,75@</x:v>
      </x:c>
      <x:c r="B199" s="19" t="str">
        <x:v>Intermediária</x:v>
      </x:c>
      <x:c r="C199" s="19" t="str">
        <x:v>Bom</x:v>
      </x:c>
      <x:c r="D199" s="19" t="n">
        <x:v>8.5</x:v>
      </x:c>
      <x:c r="E199" s="21" t="n">
        <x:f>Premissas!$B$6</x:f>
        <x:v>330</x:v>
      </x:c>
      <x:c r="F199" s="19" t="n">
        <x:f>XLOOKUP(A199,Lotes!$A$4:$A$8,Lotes!$B$4:$B$8,0)</x:f>
        <x:v>0</x:v>
      </x:c>
      <x:c r="G199" s="23" t="n">
        <x:f>XLOOKUP(A199,Lotes!$A$4:$A$8,Lotes!$C$4:$C$8,0)</x:f>
        <x:v>7.75</x:v>
      </x:c>
      <x:c r="H199" s="23" t="n">
        <x:f>G199*Premissas!$B$5/Premissas!$B$4</x:f>
        <x:v>211.36363636363635</x:v>
      </x:c>
      <x:c r="I199" s="23" t="n">
        <x:f>D199*Premissas!$B$5/Premissas!$B$4</x:f>
        <x:v>231.8181818181818</x:v>
      </x:c>
      <x:c r="J199" s="23" t="n">
        <x:f>MAX(0,I199-H199)</x:f>
        <x:v>20.454545454545467</x:v>
      </x:c>
      <x:c r="K199" s="23" t="n">
        <x:f>SUMIFS('Cenários de GMD'!$C$4:$C$19,'Cenários de GMD'!$A$4:$A$19,B199,'Cenários de GMD'!$B$4:$B$19,C199)</x:f>
        <x:v>0.85</x:v>
      </x:c>
      <x:c r="L199" s="23" t="n">
        <x:f>IF(J199=0,0,J199/K199)</x:f>
        <x:v>24.06417112299467</x:v>
      </x:c>
      <x:c r="M199" s="23" t="n">
        <x:f>((H199+I199)/2)*SUMIFS('Cenários de GMD'!$D$4:$D$19,'Cenários de GMD'!$A$4:$A$19,B199,'Cenários de GMD'!$B$4:$B$19,C199)</x:f>
        <x:v>0.22159090909090906</x:v>
      </x:c>
      <x:c r="N199" s="23" t="n">
        <x:f>((H199+I199)/2)*SUMIFS('Cenários de GMD'!$E$4:$E$19,'Cenários de GMD'!$A$4:$A$19,B199,'Cenários de GMD'!$B$4:$B$19,C199)</x:f>
        <x:v>1.1079545454545454</x:v>
      </x:c>
      <x:c r="O199" s="21" t="n">
        <x:f>M199*Insumos!$E$4+N199*Insumos!$E$5</x:f>
        <x:v>2.8701931818181814</x:v>
      </x:c>
      <x:c r="P199" s="21" t="n">
        <x:f>O199*Premissas!$B$7</x:f>
        <x:v>86.10579545454544</x:v>
      </x:c>
      <x:c r="Q199" s="21" t="n">
        <x:f>O199*L199</x:f>
        <x:v>69.06881988332526</x:v>
      </x:c>
      <x:c r="R199" s="21" t="n">
        <x:f>Premissas!$B$7*Premissas!$B$8*L199</x:f>
        <x:v>0</x:v>
      </x:c>
      <x:c r="S199" s="21" t="n">
        <x:f>D199*E199</x:f>
        <x:v>2805</x:v>
      </x:c>
      <x:c r="T199" s="21" t="n">
        <x:f>S199*F199</x:f>
        <x:v>0</x:v>
      </x:c>
      <x:c r="U199" s="21" t="n">
        <x:f>S199-XLOOKUP(A199,Lotes!$A$4:$A$8,Lotes!$D$4:$D$8,Premissas!$B$9)-Q199-R199</x:f>
        <x:v>785.9311801166748</x:v>
      </x:c>
      <x:c r="V199" s="21" t="n">
        <x:f>U199*F199</x:f>
        <x:v>0</x:v>
      </x:c>
      <x:c r="W199" s="20" t="n">
        <x:f>IF(S199=0,0,U199/S199)</x:f>
        <x:v>0.2801893690255525</x:v>
      </x:c>
      <x:c r="X199" s="21" t="n">
        <x:f>IF(D199-G199&lt;=0,0,Q199/(D199-G199))</x:f>
        <x:v>92.09175984443368</x:v>
      </x:c>
      <x:c r="Y199" s="20" t="n">
        <x:f>IFERROR(U199/(XLOOKUP(A199,Lotes!$A$4:$A$8,Lotes!$D$4:$D$8,Premissas!$B$9)+Q199+R199),0)</x:f>
        <x:v>0.3892542801795587</x:v>
      </x:c>
      <x:c r="Z199" s="20" t="n">
        <x:f>IF(L199=0,Y199,Y199/MAX(1,L199/Premissas!$B$7))</x:f>
        <x:v>0.3892542801795587</x:v>
      </x:c>
      <x:c r="AA199" s="19" t="str">
        <x:f>IF(L199=0,"Venda imediata",IF(L199&lt;=60,"Baixo",IF(L199&lt;=120,"Médio","Alto")))</x:f>
        <x:v>Baixo</x:v>
      </x:c>
      <x:c r="AB199" s="19" t="str">
        <x:f>IF(U199&lt;0,"Não fazer",IF(AA199="Alto","Risco seca",IF(Z199&gt;=0.03,"Bom giro","Margem ok")))</x:f>
        <x:v>Bom giro</x:v>
      </x:c>
    </x:row>
    <x:row r="200">
      <x:c r="A200" s="19" t="str">
        <x:v>Grupo médio 7,75@</x:v>
      </x:c>
      <x:c r="B200" s="19" t="str">
        <x:v>Intermediária</x:v>
      </x:c>
      <x:c r="C200" s="19" t="str">
        <x:v>Bom</x:v>
      </x:c>
      <x:c r="D200" s="19" t="n">
        <x:v>9</x:v>
      </x:c>
      <x:c r="E200" s="21" t="n">
        <x:f>Premissas!$B$6</x:f>
        <x:v>330</x:v>
      </x:c>
      <x:c r="F200" s="19" t="n">
        <x:f>XLOOKUP(A200,Lotes!$A$4:$A$8,Lotes!$B$4:$B$8,0)</x:f>
        <x:v>0</x:v>
      </x:c>
      <x:c r="G200" s="23" t="n">
        <x:f>XLOOKUP(A200,Lotes!$A$4:$A$8,Lotes!$C$4:$C$8,0)</x:f>
        <x:v>7.75</x:v>
      </x:c>
      <x:c r="H200" s="23" t="n">
        <x:f>G200*Premissas!$B$5/Premissas!$B$4</x:f>
        <x:v>211.36363636363635</x:v>
      </x:c>
      <x:c r="I200" s="23" t="n">
        <x:f>D200*Premissas!$B$5/Premissas!$B$4</x:f>
        <x:v>245.45454545454544</x:v>
      </x:c>
      <x:c r="J200" s="23" t="n">
        <x:f>MAX(0,I200-H200)</x:f>
        <x:v>34.09090909090909</x:v>
      </x:c>
      <x:c r="K200" s="23" t="n">
        <x:f>SUMIFS('Cenários de GMD'!$C$4:$C$19,'Cenários de GMD'!$A$4:$A$19,B200,'Cenários de GMD'!$B$4:$B$19,C200)</x:f>
        <x:v>0.85</x:v>
      </x:c>
      <x:c r="L200" s="23" t="n">
        <x:f>IF(J200=0,0,J200/K200)</x:f>
        <x:v>40.106951871657756</x:v>
      </x:c>
      <x:c r="M200" s="23" t="n">
        <x:f>((H200+I200)/2)*SUMIFS('Cenários de GMD'!$D$4:$D$19,'Cenários de GMD'!$A$4:$A$19,B200,'Cenários de GMD'!$B$4:$B$19,C200)</x:f>
        <x:v>0.2284090909090909</x:v>
      </x:c>
      <x:c r="N200" s="23" t="n">
        <x:f>((H200+I200)/2)*SUMIFS('Cenários de GMD'!$E$4:$E$19,'Cenários de GMD'!$A$4:$A$19,B200,'Cenários de GMD'!$B$4:$B$19,C200)</x:f>
        <x:v>1.1420454545454544</x:v>
      </x:c>
      <x:c r="O200" s="21" t="n">
        <x:f>M200*Insumos!$E$4+N200*Insumos!$E$5</x:f>
        <x:v>2.9585068181818177</x:v>
      </x:c>
      <x:c r="P200" s="21" t="n">
        <x:f>O200*Premissas!$B$7</x:f>
        <x:v>88.75520454545453</x:v>
      </x:c>
      <x:c r="Q200" s="21" t="n">
        <x:f>O200*L200</x:f>
        <x:v>118.65669056878949</x:v>
      </x:c>
      <x:c r="R200" s="21" t="n">
        <x:f>Premissas!$B$7*Premissas!$B$8*L200</x:f>
        <x:v>0</x:v>
      </x:c>
      <x:c r="S200" s="21" t="n">
        <x:f>D200*E200</x:f>
        <x:v>2970</x:v>
      </x:c>
      <x:c r="T200" s="21" t="n">
        <x:f>S200*F200</x:f>
        <x:v>0</x:v>
      </x:c>
      <x:c r="U200" s="21" t="n">
        <x:f>S200-XLOOKUP(A200,Lotes!$A$4:$A$8,Lotes!$D$4:$D$8,Premissas!$B$9)-Q200-R200</x:f>
        <x:v>901.3433094312105</x:v>
      </x:c>
      <x:c r="V200" s="21" t="n">
        <x:f>U200*F200</x:f>
        <x:v>0</x:v>
      </x:c>
      <x:c r="W200" s="20" t="n">
        <x:f>IF(S200=0,0,U200/S200)</x:f>
        <x:v>0.30348259576808434</x:v>
      </x:c>
      <x:c r="X200" s="21" t="n">
        <x:f>IF(D200-G200&lt;=0,0,Q200/(D200-G200))</x:f>
        <x:v>94.92535245503159</x:v>
      </x:c>
      <x:c r="Y200" s="20" t="n">
        <x:f>IFERROR(U200/(XLOOKUP(A200,Lotes!$A$4:$A$8,Lotes!$D$4:$D$8,Premissas!$B$9)+Q200+R200),0)</x:f>
        <x:v>0.4357143036544071</x:v>
      </x:c>
      <x:c r="Z200" s="20" t="n">
        <x:f>IF(L200=0,Y200,Y200/MAX(1,L200/Premissas!$B$7))</x:f>
        <x:v>0.3259142991334965</x:v>
      </x:c>
      <x:c r="AA200" s="19" t="str">
        <x:f>IF(L200=0,"Venda imediata",IF(L200&lt;=60,"Baixo",IF(L200&lt;=120,"Médio","Alto")))</x:f>
        <x:v>Baixo</x:v>
      </x:c>
      <x:c r="AB200" s="19" t="str">
        <x:f>IF(U200&lt;0,"Não fazer",IF(AA200="Alto","Risco seca",IF(Z200&gt;=0.03,"Bom giro","Margem ok")))</x:f>
        <x:v>Bom giro</x:v>
      </x:c>
    </x:row>
    <x:row r="201">
      <x:c r="A201" s="9" t="str">
        <x:v>Grupo médio 7,75@</x:v>
      </x:c>
      <x:c r="B201" s="9" t="str">
        <x:v>Intermediária</x:v>
      </x:c>
      <x:c r="C201" s="9" t="str">
        <x:v>Bom</x:v>
      </x:c>
      <x:c r="D201" s="9" t="n">
        <x:v>10.5</x:v>
      </x:c>
      <x:c r="E201" s="11" t="n">
        <x:f>Premissas!$B$6</x:f>
        <x:v>330</x:v>
      </x:c>
      <x:c r="F201" s="9" t="n">
        <x:f>XLOOKUP(A201,Lotes!$A$4:$A$8,Lotes!$B$4:$B$8,0)</x:f>
        <x:v>0</x:v>
      </x:c>
      <x:c r="G201" s="13" t="n">
        <x:f>XLOOKUP(A201,Lotes!$A$4:$A$8,Lotes!$C$4:$C$8,0)</x:f>
        <x:v>7.75</x:v>
      </x:c>
      <x:c r="H201" s="13" t="n">
        <x:f>G201*Premissas!$B$5/Premissas!$B$4</x:f>
        <x:v>211.36363636363635</x:v>
      </x:c>
      <x:c r="I201" s="13" t="n">
        <x:f>D201*Premissas!$B$5/Premissas!$B$4</x:f>
        <x:v>286.3636363636363</x:v>
      </x:c>
      <x:c r="J201" s="13" t="n">
        <x:f>MAX(0,I201-H201)</x:f>
        <x:v>74.99999999999997</x:v>
      </x:c>
      <x:c r="K201" s="13" t="n">
        <x:f>SUMIFS('Cenários de GMD'!$C$4:$C$19,'Cenários de GMD'!$A$4:$A$19,B201,'Cenários de GMD'!$B$4:$B$19,C201)</x:f>
        <x:v>0.85</x:v>
      </x:c>
      <x:c r="L201" s="13" t="n">
        <x:f>IF(J201=0,0,J201/K201)</x:f>
        <x:v>88.23529411764703</x:v>
      </x:c>
      <x:c r="M201" s="13" t="n">
        <x:f>((H201+I201)/2)*SUMIFS('Cenários de GMD'!$D$4:$D$19,'Cenários de GMD'!$A$4:$A$19,B201,'Cenários de GMD'!$B$4:$B$19,C201)</x:f>
        <x:v>0.24886363636363631</x:v>
      </x:c>
      <x:c r="N201" s="13" t="n">
        <x:f>((H201+I201)/2)*SUMIFS('Cenários de GMD'!$E$4:$E$19,'Cenários de GMD'!$A$4:$A$19,B201,'Cenários de GMD'!$B$4:$B$19,C201)</x:f>
        <x:v>1.2443181818181817</x:v>
      </x:c>
      <x:c r="O201" s="11" t="n">
        <x:f>M201*Insumos!$E$4+N201*Insumos!$E$5</x:f>
        <x:v>3.223447727272727</x:v>
      </x:c>
      <x:c r="P201" s="11" t="n">
        <x:f>O201*Premissas!$B$7</x:f>
        <x:v>96.70343181818181</x:v>
      </x:c>
      <x:c r="Q201" s="11" t="n">
        <x:f>O201*L201</x:f>
        <x:v>284.42185828876995</x:v>
      </x:c>
      <x:c r="R201" s="11" t="n">
        <x:f>Premissas!$B$7*Premissas!$B$8*L201</x:f>
        <x:v>0</x:v>
      </x:c>
      <x:c r="S201" s="11" t="n">
        <x:f>D201*E201</x:f>
        <x:v>3465</x:v>
      </x:c>
      <x:c r="T201" s="11" t="n">
        <x:f>S201*F201</x:f>
        <x:v>0</x:v>
      </x:c>
      <x:c r="U201" s="11" t="n">
        <x:f>S201-XLOOKUP(A201,Lotes!$A$4:$A$8,Lotes!$D$4:$D$8,Premissas!$B$9)-Q201-R201</x:f>
        <x:v>1230.57814171123</x:v>
      </x:c>
      <x:c r="V201" s="11" t="n">
        <x:f>U201*F201</x:f>
        <x:v>0</x:v>
      </x:c>
      <x:c r="W201" s="10" t="n">
        <x:f>IF(S201=0,0,U201/S201)</x:f>
        <x:v>0.35514520684306783</x:v>
      </x:c>
      <x:c r="X201" s="11" t="n">
        <x:f>IF(D201-G201&lt;=0,0,Q201/(D201-G201))</x:f>
        <x:v>103.42613028682544</x:v>
      </x:c>
      <x:c r="Y201" s="10" t="n">
        <x:f>IFERROR(U201/(XLOOKUP(A201,Lotes!$A$4:$A$8,Lotes!$D$4:$D$8,Premissas!$B$9)+Q201+R201),0)</x:f>
        <x:v>0.5507367094294662</x:v>
      </x:c>
      <x:c r="Z201" s="10" t="n">
        <x:f>IF(L201=0,Y201,Y201/MAX(1,L201/Premissas!$B$7))</x:f>
        <x:v>0.18725048120601856</x:v>
      </x:c>
      <x:c r="AA201" s="9" t="str">
        <x:f>IF(L201=0,"Venda imediata",IF(L201&lt;=60,"Baixo",IF(L201&lt;=120,"Médio","Alto")))</x:f>
        <x:v>Médio</x:v>
      </x:c>
      <x:c r="AB201" s="9" t="str">
        <x:f>IF(U201&lt;0,"Não fazer",IF(AA201="Alto","Risco seca",IF(Z201&gt;=0.03,"Bom giro","Margem ok")))</x:f>
        <x:v>Bom giro</x:v>
      </x:c>
    </x:row>
    <x:row r="202">
      <x:c r="A202" s="9" t="str">
        <x:v>Grupo médio 7,75@</x:v>
      </x:c>
      <x:c r="B202" s="9" t="str">
        <x:v>Intermediária</x:v>
      </x:c>
      <x:c r="C202" s="9" t="str">
        <x:v>Bom</x:v>
      </x:c>
      <x:c r="D202" s="9" t="n">
        <x:v>11</x:v>
      </x:c>
      <x:c r="E202" s="11" t="n">
        <x:f>Premissas!$B$6</x:f>
        <x:v>330</x:v>
      </x:c>
      <x:c r="F202" s="9" t="n">
        <x:f>XLOOKUP(A202,Lotes!$A$4:$A$8,Lotes!$B$4:$B$8,0)</x:f>
        <x:v>0</x:v>
      </x:c>
      <x:c r="G202" s="13" t="n">
        <x:f>XLOOKUP(A202,Lotes!$A$4:$A$8,Lotes!$C$4:$C$8,0)</x:f>
        <x:v>7.75</x:v>
      </x:c>
      <x:c r="H202" s="13" t="n">
        <x:f>G202*Premissas!$B$5/Premissas!$B$4</x:f>
        <x:v>211.36363636363635</x:v>
      </x:c>
      <x:c r="I202" s="13" t="n">
        <x:f>D202*Premissas!$B$5/Premissas!$B$4</x:f>
        <x:v>300</x:v>
      </x:c>
      <x:c r="J202" s="13" t="n">
        <x:f>MAX(0,I202-H202)</x:f>
        <x:v>88.63636363636365</x:v>
      </x:c>
      <x:c r="K202" s="13" t="n">
        <x:f>SUMIFS('Cenários de GMD'!$C$4:$C$19,'Cenários de GMD'!$A$4:$A$19,B202,'Cenários de GMD'!$B$4:$B$19,C202)</x:f>
        <x:v>0.85</x:v>
      </x:c>
      <x:c r="L202" s="13" t="n">
        <x:f>IF(J202=0,0,J202/K202)</x:f>
        <x:v>104.27807486631018</x:v>
      </x:c>
      <x:c r="M202" s="13" t="n">
        <x:f>((H202+I202)/2)*SUMIFS('Cenários de GMD'!$D$4:$D$19,'Cenários de GMD'!$A$4:$A$19,B202,'Cenários de GMD'!$B$4:$B$19,C202)</x:f>
        <x:v>0.2556818181818182</x:v>
      </x:c>
      <x:c r="N202" s="13" t="n">
        <x:f>((H202+I202)/2)*SUMIFS('Cenários de GMD'!$E$4:$E$19,'Cenários de GMD'!$A$4:$A$19,B202,'Cenários de GMD'!$B$4:$B$19,C202)</x:f>
        <x:v>1.278409090909091</x:v>
      </x:c>
      <x:c r="O202" s="11" t="n">
        <x:f>M202*Insumos!$E$4+N202*Insumos!$E$5</x:f>
        <x:v>3.3117613636363643</x:v>
      </x:c>
      <x:c r="P202" s="11" t="n">
        <x:f>O202*Premissas!$B$7</x:f>
        <x:v>99.35284090909093</x:v>
      </x:c>
      <x:c r="Q202" s="11" t="n">
        <x:f>O202*L202</x:f>
        <x:v>345.3440994166263</x:v>
      </x:c>
      <x:c r="R202" s="11" t="n">
        <x:f>Premissas!$B$7*Premissas!$B$8*L202</x:f>
        <x:v>0</x:v>
      </x:c>
      <x:c r="S202" s="11" t="n">
        <x:f>D202*E202</x:f>
        <x:v>3630</x:v>
      </x:c>
      <x:c r="T202" s="11" t="n">
        <x:f>S202*F202</x:f>
        <x:v>0</x:v>
      </x:c>
      <x:c r="U202" s="11" t="n">
        <x:f>S202-XLOOKUP(A202,Lotes!$A$4:$A$8,Lotes!$D$4:$D$8,Premissas!$B$9)-Q202-R202</x:f>
        <x:v>1334.6559005833738</x:v>
      </x:c>
      <x:c r="V202" s="11" t="n">
        <x:f>U202*F202</x:f>
        <x:v>0</x:v>
      </x:c>
      <x:c r="W202" s="10" t="n">
        <x:f>IF(S202=0,0,U202/S202)</x:f>
        <x:v>0.3676738018136016</x:v>
      </x:c>
      <x:c r="X202" s="11" t="n">
        <x:f>IF(D202-G202&lt;=0,0,Q202/(D202-G202))</x:f>
        <x:v>106.25972289742347</x:v>
      </x:c>
      <x:c r="Y202" s="10" t="n">
        <x:f>IFERROR(U202/(XLOOKUP(A202,Lotes!$A$4:$A$8,Lotes!$D$4:$D$8,Premissas!$B$9)+Q202+R202),0)</x:f>
        <x:v>0.581462230836145</x:v>
      </x:c>
      <x:c r="Z202" s="10" t="n">
        <x:f>IF(L202=0,Y202,Y202/MAX(1,L202/Premissas!$B$7))</x:f>
        <x:v>0.16728221102516785</x:v>
      </x:c>
      <x:c r="AA202" s="9" t="str">
        <x:f>IF(L202=0,"Venda imediata",IF(L202&lt;=60,"Baixo",IF(L202&lt;=120,"Médio","Alto")))</x:f>
        <x:v>Médio</x:v>
      </x:c>
      <x:c r="AB202" s="9" t="str">
        <x:f>IF(U202&lt;0,"Não fazer",IF(AA202="Alto","Risco seca",IF(Z202&gt;=0.03,"Bom giro","Margem ok")))</x:f>
        <x:v>Bom giro</x:v>
      </x:c>
    </x:row>
    <x:row r="203">
      <x:c r="A203" s="9" t="str">
        <x:v>Grupo médio 7,75@</x:v>
      </x:c>
      <x:c r="B203" s="9" t="str">
        <x:v>Intermediária</x:v>
      </x:c>
      <x:c r="C203" s="9" t="str">
        <x:v>Bom</x:v>
      </x:c>
      <x:c r="D203" s="9" t="n">
        <x:v>12</x:v>
      </x:c>
      <x:c r="E203" s="11" t="n">
        <x:f>Premissas!$B$6</x:f>
        <x:v>330</x:v>
      </x:c>
      <x:c r="F203" s="9" t="n">
        <x:f>XLOOKUP(A203,Lotes!$A$4:$A$8,Lotes!$B$4:$B$8,0)</x:f>
        <x:v>0</x:v>
      </x:c>
      <x:c r="G203" s="13" t="n">
        <x:f>XLOOKUP(A203,Lotes!$A$4:$A$8,Lotes!$C$4:$C$8,0)</x:f>
        <x:v>7.75</x:v>
      </x:c>
      <x:c r="H203" s="13" t="n">
        <x:f>G203*Premissas!$B$5/Premissas!$B$4</x:f>
        <x:v>211.36363636363635</x:v>
      </x:c>
      <x:c r="I203" s="13" t="n">
        <x:f>D203*Premissas!$B$5/Premissas!$B$4</x:f>
        <x:v>327.27272727272725</x:v>
      </x:c>
      <x:c r="J203" s="13" t="n">
        <x:f>MAX(0,I203-H203)</x:f>
        <x:v>115.9090909090909</x:v>
      </x:c>
      <x:c r="K203" s="13" t="n">
        <x:f>SUMIFS('Cenários de GMD'!$C$4:$C$19,'Cenários de GMD'!$A$4:$A$19,B203,'Cenários de GMD'!$B$4:$B$19,C203)</x:f>
        <x:v>0.85</x:v>
      </x:c>
      <x:c r="L203" s="13" t="n">
        <x:f>IF(J203=0,0,J203/K203)</x:f>
        <x:v>136.36363636363637</x:v>
      </x:c>
      <x:c r="M203" s="13" t="n">
        <x:f>((H203+I203)/2)*SUMIFS('Cenários de GMD'!$D$4:$D$19,'Cenários de GMD'!$A$4:$A$19,B203,'Cenários de GMD'!$B$4:$B$19,C203)</x:f>
        <x:v>0.26931818181818185</x:v>
      </x:c>
      <x:c r="N203" s="13" t="n">
        <x:f>((H203+I203)/2)*SUMIFS('Cenários de GMD'!$E$4:$E$19,'Cenários de GMD'!$A$4:$A$19,B203,'Cenários de GMD'!$B$4:$B$19,C203)</x:f>
        <x:v>1.3465909090909092</x:v>
      </x:c>
      <x:c r="O203" s="11" t="n">
        <x:f>M203*Insumos!$E$4+N203*Insumos!$E$5</x:f>
        <x:v>3.4883886363636365</x:v>
      </x:c>
      <x:c r="P203" s="11" t="n">
        <x:f>O203*Premissas!$B$7</x:f>
        <x:v>104.65165909090909</x:v>
      </x:c>
      <x:c r="Q203" s="11" t="n">
        <x:f>O203*L203</x:f>
        <x:v>475.6893595041323</x:v>
      </x:c>
      <x:c r="R203" s="11" t="n">
        <x:f>Premissas!$B$7*Premissas!$B$8*L203</x:f>
        <x:v>0</x:v>
      </x:c>
      <x:c r="S203" s="11" t="n">
        <x:f>D203*E203</x:f>
        <x:v>3960</x:v>
      </x:c>
      <x:c r="T203" s="11" t="n">
        <x:f>S203*F203</x:f>
        <x:v>0</x:v>
      </x:c>
      <x:c r="U203" s="11" t="n">
        <x:f>S203-XLOOKUP(A203,Lotes!$A$4:$A$8,Lotes!$D$4:$D$8,Premissas!$B$9)-Q203-R203</x:f>
        <x:v>1534.3106404958676</x:v>
      </x:c>
      <x:c r="V203" s="11" t="n">
        <x:f>U203*F203</x:f>
        <x:v>0</x:v>
      </x:c>
      <x:c r="W203" s="10" t="n">
        <x:f>IF(S203=0,0,U203/S203)</x:f>
        <x:v>0.3874521819434009</x:v>
      </x:c>
      <x:c r="X203" s="11" t="n">
        <x:f>IF(D203-G203&lt;=0,0,Q203/(D203-G203))</x:f>
        <x:v>111.92690811861937</x:v>
      </x:c>
      <x:c r="Y203" s="10" t="n">
        <x:f>IFERROR(U203/(XLOOKUP(A203,Lotes!$A$4:$A$8,Lotes!$D$4:$D$8,Premissas!$B$9)+Q203+R203),0)</x:f>
        <x:v>0.632525609466134</x:v>
      </x:c>
      <x:c r="Z203" s="10" t="n">
        <x:f>IF(L203=0,Y203,Y203/MAX(1,L203/Premissas!$B$7))</x:f>
        <x:v>0.13915563408254947</x:v>
      </x:c>
      <x:c r="AA203" s="9" t="str">
        <x:f>IF(L203=0,"Venda imediata",IF(L203&lt;=60,"Baixo",IF(L203&lt;=120,"Médio","Alto")))</x:f>
        <x:v>Alto</x:v>
      </x:c>
      <x:c r="AB203" s="9" t="str">
        <x:f>IF(U203&lt;0,"Não fazer",IF(AA203="Alto","Risco seca",IF(Z203&gt;=0.03,"Bom giro","Margem ok")))</x:f>
        <x:v>Risco seca</x:v>
      </x:c>
    </x:row>
    <x:row r="204">
      <x:c r="A204" s="9" t="str">
        <x:v>Grupo médio 7,75@</x:v>
      </x:c>
      <x:c r="B204" s="9" t="str">
        <x:v>Intermediária</x:v>
      </x:c>
      <x:c r="C204" s="9" t="str">
        <x:v>Ótimo</x:v>
      </x:c>
      <x:c r="D204" s="9" t="n">
        <x:v>8.5</x:v>
      </x:c>
      <x:c r="E204" s="11" t="n">
        <x:f>Premissas!$B$6</x:f>
        <x:v>330</x:v>
      </x:c>
      <x:c r="F204" s="9" t="n">
        <x:f>XLOOKUP(A204,Lotes!$A$4:$A$8,Lotes!$B$4:$B$8,0)</x:f>
        <x:v>0</x:v>
      </x:c>
      <x:c r="G204" s="13" t="n">
        <x:f>XLOOKUP(A204,Lotes!$A$4:$A$8,Lotes!$C$4:$C$8,0)</x:f>
        <x:v>7.75</x:v>
      </x:c>
      <x:c r="H204" s="13" t="n">
        <x:f>G204*Premissas!$B$5/Premissas!$B$4</x:f>
        <x:v>211.36363636363635</x:v>
      </x:c>
      <x:c r="I204" s="13" t="n">
        <x:f>D204*Premissas!$B$5/Premissas!$B$4</x:f>
        <x:v>231.8181818181818</x:v>
      </x:c>
      <x:c r="J204" s="13" t="n">
        <x:f>MAX(0,I204-H204)</x:f>
        <x:v>20.454545454545467</x:v>
      </x:c>
      <x:c r="K204" s="13" t="n">
        <x:f>SUMIFS('Cenários de GMD'!$C$4:$C$19,'Cenários de GMD'!$A$4:$A$19,B204,'Cenários de GMD'!$B$4:$B$19,C204)</x:f>
        <x:v>0.95</x:v>
      </x:c>
      <x:c r="L204" s="13" t="n">
        <x:f>IF(J204=0,0,J204/K204)</x:f>
        <x:v>21.531100478468915</x:v>
      </x:c>
      <x:c r="M204" s="13" t="n">
        <x:f>((H204+I204)/2)*SUMIFS('Cenários de GMD'!$D$4:$D$19,'Cenários de GMD'!$A$4:$A$19,B204,'Cenários de GMD'!$B$4:$B$19,C204)</x:f>
        <x:v>0.22159090909090906</x:v>
      </x:c>
      <x:c r="N204" s="13" t="n">
        <x:f>((H204+I204)/2)*SUMIFS('Cenários de GMD'!$E$4:$E$19,'Cenários de GMD'!$A$4:$A$19,B204,'Cenários de GMD'!$B$4:$B$19,C204)</x:f>
        <x:v>1.1079545454545454</x:v>
      </x:c>
      <x:c r="O204" s="11" t="n">
        <x:f>M204*Insumos!$E$4+N204*Insumos!$E$5</x:f>
        <x:v>2.8701931818181814</x:v>
      </x:c>
      <x:c r="P204" s="11" t="n">
        <x:f>O204*Premissas!$B$7</x:f>
        <x:v>86.10579545454544</x:v>
      </x:c>
      <x:c r="Q204" s="11" t="n">
        <x:f>O204*L204</x:f>
        <x:v>61.79841779034366</x:v>
      </x:c>
      <x:c r="R204" s="11" t="n">
        <x:f>Premissas!$B$7*Premissas!$B$8*L204</x:f>
        <x:v>0</x:v>
      </x:c>
      <x:c r="S204" s="11" t="n">
        <x:f>D204*E204</x:f>
        <x:v>2805</x:v>
      </x:c>
      <x:c r="T204" s="11" t="n">
        <x:f>S204*F204</x:f>
        <x:v>0</x:v>
      </x:c>
      <x:c r="U204" s="11" t="n">
        <x:f>S204-XLOOKUP(A204,Lotes!$A$4:$A$8,Lotes!$D$4:$D$8,Premissas!$B$9)-Q204-R204</x:f>
        <x:v>793.2015822096563</x:v>
      </x:c>
      <x:c r="V204" s="11" t="n">
        <x:f>U204*F204</x:f>
        <x:v>0</x:v>
      </x:c>
      <x:c r="W204" s="10" t="n">
        <x:f>IF(S204=0,0,U204/S204)</x:f>
        <x:v>0.2827813127307153</x:v>
      </x:c>
      <x:c r="X204" s="11" t="n">
        <x:f>IF(D204-G204&lt;=0,0,Q204/(D204-G204))</x:f>
        <x:v>82.39789038712489</x:v>
      </x:c>
      <x:c r="Y204" s="10" t="n">
        <x:f>IFERROR(U204/(XLOOKUP(A204,Lotes!$A$4:$A$8,Lotes!$D$4:$D$8,Premissas!$B$9)+Q204+R204),0)</x:f>
        <x:v>0.39427488121840176</x:v>
      </x:c>
      <x:c r="Z204" s="10" t="n">
        <x:f>IF(L204=0,Y204,Y204/MAX(1,L204/Premissas!$B$7))</x:f>
        <x:v>0.39427488121840176</x:v>
      </x:c>
      <x:c r="AA204" s="9" t="str">
        <x:f>IF(L204=0,"Venda imediata",IF(L204&lt;=60,"Baixo",IF(L204&lt;=120,"Médio","Alto")))</x:f>
        <x:v>Baixo</x:v>
      </x:c>
      <x:c r="AB204" s="9" t="str">
        <x:f>IF(U204&lt;0,"Não fazer",IF(AA204="Alto","Risco seca",IF(Z204&gt;=0.03,"Bom giro","Margem ok")))</x:f>
        <x:v>Bom giro</x:v>
      </x:c>
    </x:row>
    <x:row r="205">
      <x:c r="A205" s="9" t="str">
        <x:v>Grupo médio 7,75@</x:v>
      </x:c>
      <x:c r="B205" s="9" t="str">
        <x:v>Intermediária</x:v>
      </x:c>
      <x:c r="C205" s="9" t="str">
        <x:v>Ótimo</x:v>
      </x:c>
      <x:c r="D205" s="9" t="n">
        <x:v>9</x:v>
      </x:c>
      <x:c r="E205" s="11" t="n">
        <x:f>Premissas!$B$6</x:f>
        <x:v>330</x:v>
      </x:c>
      <x:c r="F205" s="9" t="n">
        <x:f>XLOOKUP(A205,Lotes!$A$4:$A$8,Lotes!$B$4:$B$8,0)</x:f>
        <x:v>0</x:v>
      </x:c>
      <x:c r="G205" s="13" t="n">
        <x:f>XLOOKUP(A205,Lotes!$A$4:$A$8,Lotes!$C$4:$C$8,0)</x:f>
        <x:v>7.75</x:v>
      </x:c>
      <x:c r="H205" s="13" t="n">
        <x:f>G205*Premissas!$B$5/Premissas!$B$4</x:f>
        <x:v>211.36363636363635</x:v>
      </x:c>
      <x:c r="I205" s="13" t="n">
        <x:f>D205*Premissas!$B$5/Premissas!$B$4</x:f>
        <x:v>245.45454545454544</x:v>
      </x:c>
      <x:c r="J205" s="13" t="n">
        <x:f>MAX(0,I205-H205)</x:f>
        <x:v>34.09090909090909</x:v>
      </x:c>
      <x:c r="K205" s="13" t="n">
        <x:f>SUMIFS('Cenários de GMD'!$C$4:$C$19,'Cenários de GMD'!$A$4:$A$19,B205,'Cenários de GMD'!$B$4:$B$19,C205)</x:f>
        <x:v>0.95</x:v>
      </x:c>
      <x:c r="L205" s="13" t="n">
        <x:f>IF(J205=0,0,J205/K205)</x:f>
        <x:v>35.885167464114836</x:v>
      </x:c>
      <x:c r="M205" s="13" t="n">
        <x:f>((H205+I205)/2)*SUMIFS('Cenários de GMD'!$D$4:$D$19,'Cenários de GMD'!$A$4:$A$19,B205,'Cenários de GMD'!$B$4:$B$19,C205)</x:f>
        <x:v>0.2284090909090909</x:v>
      </x:c>
      <x:c r="N205" s="13" t="n">
        <x:f>((H205+I205)/2)*SUMIFS('Cenários de GMD'!$E$4:$E$19,'Cenários de GMD'!$A$4:$A$19,B205,'Cenários de GMD'!$B$4:$B$19,C205)</x:f>
        <x:v>1.1420454545454544</x:v>
      </x:c>
      <x:c r="O205" s="11" t="n">
        <x:f>M205*Insumos!$E$4+N205*Insumos!$E$5</x:f>
        <x:v>2.9585068181818177</x:v>
      </x:c>
      <x:c r="P205" s="11" t="n">
        <x:f>O205*Premissas!$B$7</x:f>
        <x:v>88.75520454545453</x:v>
      </x:c>
      <x:c r="Q205" s="11" t="n">
        <x:f>O205*L205</x:f>
        <x:v>106.16651261418008</x:v>
      </x:c>
      <x:c r="R205" s="11" t="n">
        <x:f>Premissas!$B$7*Premissas!$B$8*L205</x:f>
        <x:v>0</x:v>
      </x:c>
      <x:c r="S205" s="11" t="n">
        <x:f>D205*E205</x:f>
        <x:v>2970</x:v>
      </x:c>
      <x:c r="T205" s="11" t="n">
        <x:f>S205*F205</x:f>
        <x:v>0</x:v>
      </x:c>
      <x:c r="U205" s="11" t="n">
        <x:f>S205-XLOOKUP(A205,Lotes!$A$4:$A$8,Lotes!$D$4:$D$8,Premissas!$B$9)-Q205-R205</x:f>
        <x:v>913.8334873858199</x:v>
      </x:c>
      <x:c r="V205" s="11" t="n">
        <x:f>U205*F205</x:f>
        <x:v>0</x:v>
      </x:c>
      <x:c r="W205" s="10" t="n">
        <x:f>IF(S205=0,0,U205/S205)</x:f>
        <x:v>0.30768804289084845</x:v>
      </x:c>
      <x:c r="X205" s="11" t="n">
        <x:f>IF(D205-G205&lt;=0,0,Q205/(D205-G205))</x:f>
        <x:v>84.93321009134407</x:v>
      </x:c>
      <x:c r="Y205" s="10" t="n">
        <x:f>IFERROR(U205/(XLOOKUP(A205,Lotes!$A$4:$A$8,Lotes!$D$4:$D$8,Premissas!$B$9)+Q205+R205),0)</x:f>
        <x:v>0.44443554633325166</x:v>
      </x:c>
      <x:c r="Z205" s="10" t="n">
        <x:f>IF(L205=0,Y205,Y205/MAX(1,L205/Premissas!$B$7))</x:f>
        <x:v>0.37154811673459837</x:v>
      </x:c>
      <x:c r="AA205" s="9" t="str">
        <x:f>IF(L205=0,"Venda imediata",IF(L205&lt;=60,"Baixo",IF(L205&lt;=120,"Médio","Alto")))</x:f>
        <x:v>Baixo</x:v>
      </x:c>
      <x:c r="AB205" s="9" t="str">
        <x:f>IF(U205&lt;0,"Não fazer",IF(AA205="Alto","Risco seca",IF(Z205&gt;=0.03,"Bom giro","Margem ok")))</x:f>
        <x:v>Bom giro</x:v>
      </x:c>
    </x:row>
    <x:row r="206">
      <x:c r="A206" s="9" t="str">
        <x:v>Grupo médio 7,75@</x:v>
      </x:c>
      <x:c r="B206" s="9" t="str">
        <x:v>Intermediária</x:v>
      </x:c>
      <x:c r="C206" s="9" t="str">
        <x:v>Ótimo</x:v>
      </x:c>
      <x:c r="D206" s="9" t="n">
        <x:v>10.5</x:v>
      </x:c>
      <x:c r="E206" s="11" t="n">
        <x:f>Premissas!$B$6</x:f>
        <x:v>330</x:v>
      </x:c>
      <x:c r="F206" s="9" t="n">
        <x:f>XLOOKUP(A206,Lotes!$A$4:$A$8,Lotes!$B$4:$B$8,0)</x:f>
        <x:v>0</x:v>
      </x:c>
      <x:c r="G206" s="13" t="n">
        <x:f>XLOOKUP(A206,Lotes!$A$4:$A$8,Lotes!$C$4:$C$8,0)</x:f>
        <x:v>7.75</x:v>
      </x:c>
      <x:c r="H206" s="13" t="n">
        <x:f>G206*Premissas!$B$5/Premissas!$B$4</x:f>
        <x:v>211.36363636363635</x:v>
      </x:c>
      <x:c r="I206" s="13" t="n">
        <x:f>D206*Premissas!$B$5/Premissas!$B$4</x:f>
        <x:v>286.3636363636363</x:v>
      </x:c>
      <x:c r="J206" s="13" t="n">
        <x:f>MAX(0,I206-H206)</x:f>
        <x:v>74.99999999999997</x:v>
      </x:c>
      <x:c r="K206" s="13" t="n">
        <x:f>SUMIFS('Cenários de GMD'!$C$4:$C$19,'Cenários de GMD'!$A$4:$A$19,B206,'Cenários de GMD'!$B$4:$B$19,C206)</x:f>
        <x:v>0.95</x:v>
      </x:c>
      <x:c r="L206" s="13" t="n">
        <x:f>IF(J206=0,0,J206/K206)</x:f>
        <x:v>78.9473684210526</x:v>
      </x:c>
      <x:c r="M206" s="13" t="n">
        <x:f>((H206+I206)/2)*SUMIFS('Cenários de GMD'!$D$4:$D$19,'Cenários de GMD'!$A$4:$A$19,B206,'Cenários de GMD'!$B$4:$B$19,C206)</x:f>
        <x:v>0.24886363636363631</x:v>
      </x:c>
      <x:c r="N206" s="13" t="n">
        <x:f>((H206+I206)/2)*SUMIFS('Cenários de GMD'!$E$4:$E$19,'Cenários de GMD'!$A$4:$A$19,B206,'Cenários de GMD'!$B$4:$B$19,C206)</x:f>
        <x:v>1.2443181818181817</x:v>
      </x:c>
      <x:c r="O206" s="11" t="n">
        <x:f>M206*Insumos!$E$4+N206*Insumos!$E$5</x:f>
        <x:v>3.223447727272727</x:v>
      </x:c>
      <x:c r="P206" s="11" t="n">
        <x:f>O206*Premissas!$B$7</x:f>
        <x:v>96.70343181818181</x:v>
      </x:c>
      <x:c r="Q206" s="11" t="n">
        <x:f>O206*L206</x:f>
        <x:v>254.48271531100468</x:v>
      </x:c>
      <x:c r="R206" s="11" t="n">
        <x:f>Premissas!$B$7*Premissas!$B$8*L206</x:f>
        <x:v>0</x:v>
      </x:c>
      <x:c r="S206" s="11" t="n">
        <x:f>D206*E206</x:f>
        <x:v>3465</x:v>
      </x:c>
      <x:c r="T206" s="11" t="n">
        <x:f>S206*F206</x:f>
        <x:v>0</x:v>
      </x:c>
      <x:c r="U206" s="11" t="n">
        <x:f>S206-XLOOKUP(A206,Lotes!$A$4:$A$8,Lotes!$D$4:$D$8,Premissas!$B$9)-Q206-R206</x:f>
        <x:v>1260.5172846889952</x:v>
      </x:c>
      <x:c r="V206" s="11" t="n">
        <x:f>U206*F206</x:f>
        <x:v>0</x:v>
      </x:c>
      <x:c r="W206" s="10" t="n">
        <x:f>IF(S206=0,0,U206/S206)</x:f>
        <x:v>0.3637856521468962</x:v>
      </x:c>
      <x:c r="X206" s="11" t="n">
        <x:f>IF(D206-G206&lt;=0,0,Q206/(D206-G206))</x:f>
        <x:v>92.53916920400171</x:v>
      </x:c>
      <x:c r="Y206" s="10" t="n">
        <x:f>IFERROR(U206/(XLOOKUP(A206,Lotes!$A$4:$A$8,Lotes!$D$4:$D$8,Premissas!$B$9)+Q206+R206),0)</x:f>
        <x:v>0.5717973091529382</x:v>
      </x:c>
      <x:c r="Z206" s="10" t="n">
        <x:f>IF(L206=0,Y206,Y206/MAX(1,L206/Premissas!$B$7))</x:f>
        <x:v>0.21728297747811662</x:v>
      </x:c>
      <x:c r="AA206" s="9" t="str">
        <x:f>IF(L206=0,"Venda imediata",IF(L206&lt;=60,"Baixo",IF(L206&lt;=120,"Médio","Alto")))</x:f>
        <x:v>Médio</x:v>
      </x:c>
      <x:c r="AB206" s="9" t="str">
        <x:f>IF(U206&lt;0,"Não fazer",IF(AA206="Alto","Risco seca",IF(Z206&gt;=0.03,"Bom giro","Margem ok")))</x:f>
        <x:v>Bom giro</x:v>
      </x:c>
    </x:row>
    <x:row r="207">
      <x:c r="A207" s="9" t="str">
        <x:v>Grupo médio 7,75@</x:v>
      </x:c>
      <x:c r="B207" s="9" t="str">
        <x:v>Intermediária</x:v>
      </x:c>
      <x:c r="C207" s="9" t="str">
        <x:v>Ótimo</x:v>
      </x:c>
      <x:c r="D207" s="9" t="n">
        <x:v>11</x:v>
      </x:c>
      <x:c r="E207" s="11" t="n">
        <x:f>Premissas!$B$6</x:f>
        <x:v>330</x:v>
      </x:c>
      <x:c r="F207" s="9" t="n">
        <x:f>XLOOKUP(A207,Lotes!$A$4:$A$8,Lotes!$B$4:$B$8,0)</x:f>
        <x:v>0</x:v>
      </x:c>
      <x:c r="G207" s="13" t="n">
        <x:f>XLOOKUP(A207,Lotes!$A$4:$A$8,Lotes!$C$4:$C$8,0)</x:f>
        <x:v>7.75</x:v>
      </x:c>
      <x:c r="H207" s="13" t="n">
        <x:f>G207*Premissas!$B$5/Premissas!$B$4</x:f>
        <x:v>211.36363636363635</x:v>
      </x:c>
      <x:c r="I207" s="13" t="n">
        <x:f>D207*Premissas!$B$5/Premissas!$B$4</x:f>
        <x:v>300</x:v>
      </x:c>
      <x:c r="J207" s="13" t="n">
        <x:f>MAX(0,I207-H207)</x:f>
        <x:v>88.63636363636365</x:v>
      </x:c>
      <x:c r="K207" s="13" t="n">
        <x:f>SUMIFS('Cenários de GMD'!$C$4:$C$19,'Cenários de GMD'!$A$4:$A$19,B207,'Cenários de GMD'!$B$4:$B$19,C207)</x:f>
        <x:v>0.95</x:v>
      </x:c>
      <x:c r="L207" s="13" t="n">
        <x:f>IF(J207=0,0,J207/K207)</x:f>
        <x:v>93.30143540669859</x:v>
      </x:c>
      <x:c r="M207" s="13" t="n">
        <x:f>((H207+I207)/2)*SUMIFS('Cenários de GMD'!$D$4:$D$19,'Cenários de GMD'!$A$4:$A$19,B207,'Cenários de GMD'!$B$4:$B$19,C207)</x:f>
        <x:v>0.2556818181818182</x:v>
      </x:c>
      <x:c r="N207" s="13" t="n">
        <x:f>((H207+I207)/2)*SUMIFS('Cenários de GMD'!$E$4:$E$19,'Cenários de GMD'!$A$4:$A$19,B207,'Cenários de GMD'!$B$4:$B$19,C207)</x:f>
        <x:v>1.278409090909091</x:v>
      </x:c>
      <x:c r="O207" s="11" t="n">
        <x:f>M207*Insumos!$E$4+N207*Insumos!$E$5</x:f>
        <x:v>3.3117613636363643</x:v>
      </x:c>
      <x:c r="P207" s="11" t="n">
        <x:f>O207*Premissas!$B$7</x:f>
        <x:v>99.35284090909093</x:v>
      </x:c>
      <x:c r="Q207" s="11" t="n">
        <x:f>O207*L207</x:f>
        <x:v>308.9920889517183</x:v>
      </x:c>
      <x:c r="R207" s="11" t="n">
        <x:f>Premissas!$B$7*Premissas!$B$8*L207</x:f>
        <x:v>0</x:v>
      </x:c>
      <x:c r="S207" s="11" t="n">
        <x:f>D207*E207</x:f>
        <x:v>3630</x:v>
      </x:c>
      <x:c r="T207" s="11" t="n">
        <x:f>S207*F207</x:f>
        <x:v>0</x:v>
      </x:c>
      <x:c r="U207" s="11" t="n">
        <x:f>S207-XLOOKUP(A207,Lotes!$A$4:$A$8,Lotes!$D$4:$D$8,Premissas!$B$9)-Q207-R207</x:f>
        <x:v>1371.0079110482816</x:v>
      </x:c>
      <x:c r="V207" s="11" t="n">
        <x:f>U207*F207</x:f>
        <x:v>0</x:v>
      </x:c>
      <x:c r="W207" s="10" t="n">
        <x:f>IF(S207=0,0,U207/S207)</x:f>
        <x:v>0.3776881297653668</x:v>
      </x:c>
      <x:c r="X207" s="11" t="n">
        <x:f>IF(D207-G207&lt;=0,0,Q207/(D207-G207))</x:f>
        <x:v>95.07448890822101</x:v>
      </x:c>
      <x:c r="Y207" s="10" t="n">
        <x:f>IFERROR(U207/(XLOOKUP(A207,Lotes!$A$4:$A$8,Lotes!$D$4:$D$8,Premissas!$B$9)+Q207+R207),0)</x:f>
        <x:v>0.6069113379164137</x:v>
      </x:c>
      <x:c r="Z207" s="10" t="n">
        <x:f>IF(L207=0,Y207,Y207/MAX(1,L207/Premissas!$B$7))</x:f>
        <x:v>0.19514533788389296</x:v>
      </x:c>
      <x:c r="AA207" s="9" t="str">
        <x:f>IF(L207=0,"Venda imediata",IF(L207&lt;=60,"Baixo",IF(L207&lt;=120,"Médio","Alto")))</x:f>
        <x:v>Médio</x:v>
      </x:c>
      <x:c r="AB207" s="9" t="str">
        <x:f>IF(U207&lt;0,"Não fazer",IF(AA207="Alto","Risco seca",IF(Z207&gt;=0.03,"Bom giro","Margem ok")))</x:f>
        <x:v>Bom giro</x:v>
      </x:c>
    </x:row>
    <x:row r="208">
      <x:c r="A208" s="9" t="str">
        <x:v>Grupo médio 7,75@</x:v>
      </x:c>
      <x:c r="B208" s="9" t="str">
        <x:v>Intermediária</x:v>
      </x:c>
      <x:c r="C208" s="9" t="str">
        <x:v>Ótimo</x:v>
      </x:c>
      <x:c r="D208" s="9" t="n">
        <x:v>12</x:v>
      </x:c>
      <x:c r="E208" s="11" t="n">
        <x:f>Premissas!$B$6</x:f>
        <x:v>330</x:v>
      </x:c>
      <x:c r="F208" s="9" t="n">
        <x:f>XLOOKUP(A208,Lotes!$A$4:$A$8,Lotes!$B$4:$B$8,0)</x:f>
        <x:v>0</x:v>
      </x:c>
      <x:c r="G208" s="13" t="n">
        <x:f>XLOOKUP(A208,Lotes!$A$4:$A$8,Lotes!$C$4:$C$8,0)</x:f>
        <x:v>7.75</x:v>
      </x:c>
      <x:c r="H208" s="13" t="n">
        <x:f>G208*Premissas!$B$5/Premissas!$B$4</x:f>
        <x:v>211.36363636363635</x:v>
      </x:c>
      <x:c r="I208" s="13" t="n">
        <x:f>D208*Premissas!$B$5/Premissas!$B$4</x:f>
        <x:v>327.27272727272725</x:v>
      </x:c>
      <x:c r="J208" s="13" t="n">
        <x:f>MAX(0,I208-H208)</x:f>
        <x:v>115.9090909090909</x:v>
      </x:c>
      <x:c r="K208" s="13" t="n">
        <x:f>SUMIFS('Cenários de GMD'!$C$4:$C$19,'Cenários de GMD'!$A$4:$A$19,B208,'Cenários de GMD'!$B$4:$B$19,C208)</x:f>
        <x:v>0.95</x:v>
      </x:c>
      <x:c r="L208" s="13" t="n">
        <x:f>IF(J208=0,0,J208/K208)</x:f>
        <x:v>122.00956937799043</x:v>
      </x:c>
      <x:c r="M208" s="13" t="n">
        <x:f>((H208+I208)/2)*SUMIFS('Cenários de GMD'!$D$4:$D$19,'Cenários de GMD'!$A$4:$A$19,B208,'Cenários de GMD'!$B$4:$B$19,C208)</x:f>
        <x:v>0.26931818181818185</x:v>
      </x:c>
      <x:c r="N208" s="13" t="n">
        <x:f>((H208+I208)/2)*SUMIFS('Cenários de GMD'!$E$4:$E$19,'Cenários de GMD'!$A$4:$A$19,B208,'Cenários de GMD'!$B$4:$B$19,C208)</x:f>
        <x:v>1.3465909090909092</x:v>
      </x:c>
      <x:c r="O208" s="11" t="n">
        <x:f>M208*Insumos!$E$4+N208*Insumos!$E$5</x:f>
        <x:v>3.4883886363636365</x:v>
      </x:c>
      <x:c r="P208" s="11" t="n">
        <x:f>O208*Premissas!$B$7</x:f>
        <x:v>104.65165909090909</x:v>
      </x:c>
      <x:c r="Q208" s="11" t="n">
        <x:f>O208*L208</x:f>
        <x:v>425.61679534580253</x:v>
      </x:c>
      <x:c r="R208" s="11" t="n">
        <x:f>Premissas!$B$7*Premissas!$B$8*L208</x:f>
        <x:v>0</x:v>
      </x:c>
      <x:c r="S208" s="11" t="n">
        <x:f>D208*E208</x:f>
        <x:v>3960</x:v>
      </x:c>
      <x:c r="T208" s="11" t="n">
        <x:f>S208*F208</x:f>
        <x:v>0</x:v>
      </x:c>
      <x:c r="U208" s="11" t="n">
        <x:f>S208-XLOOKUP(A208,Lotes!$A$4:$A$8,Lotes!$D$4:$D$8,Premissas!$B$9)-Q208-R208</x:f>
        <x:v>1584.3832046541975</x:v>
      </x:c>
      <x:c r="V208" s="11" t="n">
        <x:f>U208*F208</x:f>
        <x:v>0</x:v>
      </x:c>
      <x:c r="W208" s="10" t="n">
        <x:f>IF(S208=0,0,U208/S208)</x:f>
        <x:v>0.4000967688520701</x:v>
      </x:c>
      <x:c r="X208" s="11" t="n">
        <x:f>IF(D208-G208&lt;=0,0,Q208/(D208-G208))</x:f>
        <x:v>100.14512831665942</x:v>
      </x:c>
      <x:c r="Y208" s="10" t="n">
        <x:f>IFERROR(U208/(XLOOKUP(A208,Lotes!$A$4:$A$8,Lotes!$D$4:$D$8,Premissas!$B$9)+Q208+R208),0)</x:f>
        <x:v>0.6669355123933486</x:v>
      </x:c>
      <x:c r="Z208" s="10" t="n">
        <x:f>IF(L208=0,Y208,Y208/MAX(1,L208/Premissas!$B$7))</x:f>
        <x:v>0.16398767304730572</x:v>
      </x:c>
      <x:c r="AA208" s="9" t="str">
        <x:f>IF(L208=0,"Venda imediata",IF(L208&lt;=60,"Baixo",IF(L208&lt;=120,"Médio","Alto")))</x:f>
        <x:v>Alto</x:v>
      </x:c>
      <x:c r="AB208" s="9" t="str">
        <x:f>IF(U208&lt;0,"Não fazer",IF(AA208="Alto","Risco seca",IF(Z208&gt;=0.03,"Bom giro","Margem ok")))</x:f>
        <x:v>Risco seca</x:v>
      </x:c>
    </x:row>
    <x:row r="209">
      <x:c r="A209" s="9" t="str">
        <x:v>Grupo médio 7,75@</x:v>
      </x:c>
      <x:c r="B209" s="9" t="str">
        <x:v>Agressiva</x:v>
      </x:c>
      <x:c r="C209" s="9" t="str">
        <x:v>Conservador</x:v>
      </x:c>
      <x:c r="D209" s="9" t="n">
        <x:v>8.5</x:v>
      </x:c>
      <x:c r="E209" s="11" t="n">
        <x:f>Premissas!$B$6</x:f>
        <x:v>330</x:v>
      </x:c>
      <x:c r="F209" s="9" t="n">
        <x:f>XLOOKUP(A209,Lotes!$A$4:$A$8,Lotes!$B$4:$B$8,0)</x:f>
        <x:v>0</x:v>
      </x:c>
      <x:c r="G209" s="13" t="n">
        <x:f>XLOOKUP(A209,Lotes!$A$4:$A$8,Lotes!$C$4:$C$8,0)</x:f>
        <x:v>7.75</x:v>
      </x:c>
      <x:c r="H209" s="13" t="n">
        <x:f>G209*Premissas!$B$5/Premissas!$B$4</x:f>
        <x:v>211.36363636363635</x:v>
      </x:c>
      <x:c r="I209" s="13" t="n">
        <x:f>D209*Premissas!$B$5/Premissas!$B$4</x:f>
        <x:v>231.8181818181818</x:v>
      </x:c>
      <x:c r="J209" s="13" t="n">
        <x:f>MAX(0,I209-H209)</x:f>
        <x:v>20.454545454545467</x:v>
      </x:c>
      <x:c r="K209" s="13" t="n">
        <x:f>SUMIFS('Cenários de GMD'!$C$4:$C$19,'Cenários de GMD'!$A$4:$A$19,B209,'Cenários de GMD'!$B$4:$B$19,C209)</x:f>
        <x:v>0.7</x:v>
      </x:c>
      <x:c r="L209" s="13" t="n">
        <x:f>IF(J209=0,0,J209/K209)</x:f>
        <x:v>29.220779220779242</x:v>
      </x:c>
      <x:c r="M209" s="13" t="n">
        <x:f>((H209+I209)/2)*SUMIFS('Cenários de GMD'!$D$4:$D$19,'Cenários de GMD'!$A$4:$A$19,B209,'Cenários de GMD'!$B$4:$B$19,C209)</x:f>
        <x:v>0.22159090909090906</x:v>
      </x:c>
      <x:c r="N209" s="13" t="n">
        <x:f>((H209+I209)/2)*SUMIFS('Cenários de GMD'!$E$4:$E$19,'Cenários de GMD'!$A$4:$A$19,B209,'Cenários de GMD'!$B$4:$B$19,C209)</x:f>
        <x:v>1.5511363636363635</x:v>
      </x:c>
      <x:c r="O209" s="11" t="n">
        <x:f>M209*Insumos!$E$4+N209*Insumos!$E$5</x:f>
        <x:v>3.749170454545454</x:v>
      </x:c>
      <x:c r="P209" s="11" t="n">
        <x:f>O209*Premissas!$B$7</x:f>
        <x:v>112.47511363636362</x:v>
      </x:c>
      <x:c r="Q209" s="11" t="n">
        <x:f>O209*L209</x:f>
        <x:v>109.55368211334127</x:v>
      </x:c>
      <x:c r="R209" s="11" t="n">
        <x:f>Premissas!$B$7*Premissas!$B$8*L209</x:f>
        <x:v>0</x:v>
      </x:c>
      <x:c r="S209" s="11" t="n">
        <x:f>D209*E209</x:f>
        <x:v>2805</x:v>
      </x:c>
      <x:c r="T209" s="11" t="n">
        <x:f>S209*F209</x:f>
        <x:v>0</x:v>
      </x:c>
      <x:c r="U209" s="11" t="n">
        <x:f>S209-XLOOKUP(A209,Lotes!$A$4:$A$8,Lotes!$D$4:$D$8,Premissas!$B$9)-Q209-R209</x:f>
        <x:v>745.4463178866588</x:v>
      </x:c>
      <x:c r="V209" s="11" t="n">
        <x:f>U209*F209</x:f>
        <x:v>0</x:v>
      </x:c>
      <x:c r="W209" s="10" t="n">
        <x:f>IF(S209=0,0,U209/S209)</x:f>
        <x:v>0.26575626306119743</x:v>
      </x:c>
      <x:c r="X209" s="11" t="n">
        <x:f>IF(D209-G209&lt;=0,0,Q209/(D209-G209))</x:f>
        <x:v>146.0715761511217</x:v>
      </x:c>
      <x:c r="Y209" s="10" t="n">
        <x:f>IFERROR(U209/(XLOOKUP(A209,Lotes!$A$4:$A$8,Lotes!$D$4:$D$8,Premissas!$B$9)+Q209+R209),0)</x:f>
        <x:v>0.36194556342990986</x:v>
      </x:c>
      <x:c r="Z209" s="10" t="n">
        <x:f>IF(L209=0,Y209,Y209/MAX(1,L209/Premissas!$B$7))</x:f>
        <x:v>0.36194556342990986</x:v>
      </x:c>
      <x:c r="AA209" s="9" t="str">
        <x:f>IF(L209=0,"Venda imediata",IF(L209&lt;=60,"Baixo",IF(L209&lt;=120,"Médio","Alto")))</x:f>
        <x:v>Baixo</x:v>
      </x:c>
      <x:c r="AB209" s="9" t="str">
        <x:f>IF(U209&lt;0,"Não fazer",IF(AA209="Alto","Risco seca",IF(Z209&gt;=0.03,"Bom giro","Margem ok")))</x:f>
        <x:v>Bom giro</x:v>
      </x:c>
    </x:row>
    <x:row r="210">
      <x:c r="A210" s="9" t="str">
        <x:v>Grupo médio 7,75@</x:v>
      </x:c>
      <x:c r="B210" s="9" t="str">
        <x:v>Agressiva</x:v>
      </x:c>
      <x:c r="C210" s="9" t="str">
        <x:v>Conservador</x:v>
      </x:c>
      <x:c r="D210" s="9" t="n">
        <x:v>9</x:v>
      </x:c>
      <x:c r="E210" s="11" t="n">
        <x:f>Premissas!$B$6</x:f>
        <x:v>330</x:v>
      </x:c>
      <x:c r="F210" s="9" t="n">
        <x:f>XLOOKUP(A210,Lotes!$A$4:$A$8,Lotes!$B$4:$B$8,0)</x:f>
        <x:v>0</x:v>
      </x:c>
      <x:c r="G210" s="13" t="n">
        <x:f>XLOOKUP(A210,Lotes!$A$4:$A$8,Lotes!$C$4:$C$8,0)</x:f>
        <x:v>7.75</x:v>
      </x:c>
      <x:c r="H210" s="13" t="n">
        <x:f>G210*Premissas!$B$5/Premissas!$B$4</x:f>
        <x:v>211.36363636363635</x:v>
      </x:c>
      <x:c r="I210" s="13" t="n">
        <x:f>D210*Premissas!$B$5/Premissas!$B$4</x:f>
        <x:v>245.45454545454544</x:v>
      </x:c>
      <x:c r="J210" s="13" t="n">
        <x:f>MAX(0,I210-H210)</x:f>
        <x:v>34.09090909090909</x:v>
      </x:c>
      <x:c r="K210" s="13" t="n">
        <x:f>SUMIFS('Cenários de GMD'!$C$4:$C$19,'Cenários de GMD'!$A$4:$A$19,B210,'Cenários de GMD'!$B$4:$B$19,C210)</x:f>
        <x:v>0.7</x:v>
      </x:c>
      <x:c r="L210" s="13" t="n">
        <x:f>IF(J210=0,0,J210/K210)</x:f>
        <x:v>48.70129870129871</x:v>
      </x:c>
      <x:c r="M210" s="13" t="n">
        <x:f>((H210+I210)/2)*SUMIFS('Cenários de GMD'!$D$4:$D$19,'Cenários de GMD'!$A$4:$A$19,B210,'Cenários de GMD'!$B$4:$B$19,C210)</x:f>
        <x:v>0.2284090909090909</x:v>
      </x:c>
      <x:c r="N210" s="13" t="n">
        <x:f>((H210+I210)/2)*SUMIFS('Cenários de GMD'!$E$4:$E$19,'Cenários de GMD'!$A$4:$A$19,B210,'Cenários de GMD'!$B$4:$B$19,C210)</x:f>
        <x:v>1.5988636363636362</x:v>
      </x:c>
      <x:c r="O210" s="11" t="n">
        <x:f>M210*Insumos!$E$4+N210*Insumos!$E$5</x:f>
        <x:v>3.864529545454545</x:v>
      </x:c>
      <x:c r="P210" s="11" t="n">
        <x:f>O210*Premissas!$B$7</x:f>
        <x:v>115.93588636363636</x:v>
      </x:c>
      <x:c r="Q210" s="11" t="n">
        <x:f>O210*L210</x:f>
        <x:v>188.20760773317593</x:v>
      </x:c>
      <x:c r="R210" s="11" t="n">
        <x:f>Premissas!$B$7*Premissas!$B$8*L210</x:f>
        <x:v>0</x:v>
      </x:c>
      <x:c r="S210" s="11" t="n">
        <x:f>D210*E210</x:f>
        <x:v>2970</x:v>
      </x:c>
      <x:c r="T210" s="11" t="n">
        <x:f>S210*F210</x:f>
        <x:v>0</x:v>
      </x:c>
      <x:c r="U210" s="11" t="n">
        <x:f>S210-XLOOKUP(A210,Lotes!$A$4:$A$8,Lotes!$D$4:$D$8,Premissas!$B$9)-Q210-R210</x:f>
        <x:v>831.7923922668241</x:v>
      </x:c>
      <x:c r="V210" s="11" t="n">
        <x:f>U210*F210</x:f>
        <x:v>0</x:v>
      </x:c>
      <x:c r="W210" s="10" t="n">
        <x:f>IF(S210=0,0,U210/S210)</x:f>
        <x:v>0.2800647785410182</x:v>
      </x:c>
      <x:c r="X210" s="11" t="n">
        <x:f>IF(D210-G210&lt;=0,0,Q210/(D210-G210))</x:f>
        <x:v>150.56608618654076</x:v>
      </x:c>
      <x:c r="Y210" s="10" t="n">
        <x:f>IFERROR(U210/(XLOOKUP(A210,Lotes!$A$4:$A$8,Lotes!$D$4:$D$8,Premissas!$B$9)+Q210+R210),0)</x:f>
        <x:v>0.3890138587378099</x:v>
      </x:c>
      <x:c r="Z210" s="10" t="n">
        <x:f>IF(L210=0,Y210,Y210/MAX(1,L210/Premissas!$B$7))</x:f>
        <x:v>0.23963253698249085</x:v>
      </x:c>
      <x:c r="AA210" s="9" t="str">
        <x:f>IF(L210=0,"Venda imediata",IF(L210&lt;=60,"Baixo",IF(L210&lt;=120,"Médio","Alto")))</x:f>
        <x:v>Baixo</x:v>
      </x:c>
      <x:c r="AB210" s="9" t="str">
        <x:f>IF(U210&lt;0,"Não fazer",IF(AA210="Alto","Risco seca",IF(Z210&gt;=0.03,"Bom giro","Margem ok")))</x:f>
        <x:v>Bom giro</x:v>
      </x:c>
    </x:row>
    <x:row r="211">
      <x:c r="A211" s="9" t="str">
        <x:v>Grupo médio 7,75@</x:v>
      </x:c>
      <x:c r="B211" s="9" t="str">
        <x:v>Agressiva</x:v>
      </x:c>
      <x:c r="C211" s="9" t="str">
        <x:v>Conservador</x:v>
      </x:c>
      <x:c r="D211" s="9" t="n">
        <x:v>10.5</x:v>
      </x:c>
      <x:c r="E211" s="11" t="n">
        <x:f>Premissas!$B$6</x:f>
        <x:v>330</x:v>
      </x:c>
      <x:c r="F211" s="9" t="n">
        <x:f>XLOOKUP(A211,Lotes!$A$4:$A$8,Lotes!$B$4:$B$8,0)</x:f>
        <x:v>0</x:v>
      </x:c>
      <x:c r="G211" s="13" t="n">
        <x:f>XLOOKUP(A211,Lotes!$A$4:$A$8,Lotes!$C$4:$C$8,0)</x:f>
        <x:v>7.75</x:v>
      </x:c>
      <x:c r="H211" s="13" t="n">
        <x:f>G211*Premissas!$B$5/Premissas!$B$4</x:f>
        <x:v>211.36363636363635</x:v>
      </x:c>
      <x:c r="I211" s="13" t="n">
        <x:f>D211*Premissas!$B$5/Premissas!$B$4</x:f>
        <x:v>286.3636363636363</x:v>
      </x:c>
      <x:c r="J211" s="13" t="n">
        <x:f>MAX(0,I211-H211)</x:f>
        <x:v>74.99999999999997</x:v>
      </x:c>
      <x:c r="K211" s="13" t="n">
        <x:f>SUMIFS('Cenários de GMD'!$C$4:$C$19,'Cenários de GMD'!$A$4:$A$19,B211,'Cenários de GMD'!$B$4:$B$19,C211)</x:f>
        <x:v>0.7</x:v>
      </x:c>
      <x:c r="L211" s="13" t="n">
        <x:f>IF(J211=0,0,J211/K211)</x:f>
        <x:v>107.14285714285711</x:v>
      </x:c>
      <x:c r="M211" s="13" t="n">
        <x:f>((H211+I211)/2)*SUMIFS('Cenários de GMD'!$D$4:$D$19,'Cenários de GMD'!$A$4:$A$19,B211,'Cenários de GMD'!$B$4:$B$19,C211)</x:f>
        <x:v>0.24886363636363631</x:v>
      </x:c>
      <x:c r="N211" s="13" t="n">
        <x:f>((H211+I211)/2)*SUMIFS('Cenários de GMD'!$E$4:$E$19,'Cenários de GMD'!$A$4:$A$19,B211,'Cenários de GMD'!$B$4:$B$19,C211)</x:f>
        <x:v>1.7420454545454542</x:v>
      </x:c>
      <x:c r="O211" s="11" t="n">
        <x:f>M211*Insumos!$E$4+N211*Insumos!$E$5</x:f>
        <x:v>4.210606818181818</x:v>
      </x:c>
      <x:c r="P211" s="11" t="n">
        <x:f>O211*Premissas!$B$7</x:f>
        <x:v>126.31820454545453</x:v>
      </x:c>
      <x:c r="Q211" s="11" t="n">
        <x:f>O211*L211</x:f>
        <x:v>451.1364448051946</x:v>
      </x:c>
      <x:c r="R211" s="11" t="n">
        <x:f>Premissas!$B$7*Premissas!$B$8*L211</x:f>
        <x:v>0</x:v>
      </x:c>
      <x:c r="S211" s="11" t="n">
        <x:f>D211*E211</x:f>
        <x:v>3465</x:v>
      </x:c>
      <x:c r="T211" s="11" t="n">
        <x:f>S211*F211</x:f>
        <x:v>0</x:v>
      </x:c>
      <x:c r="U211" s="11" t="n">
        <x:f>S211-XLOOKUP(A211,Lotes!$A$4:$A$8,Lotes!$D$4:$D$8,Premissas!$B$9)-Q211-R211</x:f>
        <x:v>1063.8635551948055</x:v>
      </x:c>
      <x:c r="V211" s="11" t="n">
        <x:f>U211*F211</x:f>
        <x:v>0</x:v>
      </x:c>
      <x:c r="W211" s="10" t="n">
        <x:f>IF(S211=0,0,U211/S211)</x:f>
        <x:v>0.3070313290605499</x:v>
      </x:c>
      <x:c r="X211" s="11" t="n">
        <x:f>IF(D211-G211&lt;=0,0,Q211/(D211-G211))</x:f>
        <x:v>164.04961629279805</x:v>
      </x:c>
      <x:c r="Y211" s="10" t="n">
        <x:f>IFERROR(U211/(XLOOKUP(A211,Lotes!$A$4:$A$8,Lotes!$D$4:$D$8,Premissas!$B$9)+Q211+R211),0)</x:f>
        <x:v>0.44306668098618496</x:v>
      </x:c>
      <x:c r="Z211" s="10" t="n">
        <x:f>IF(L211=0,Y211,Y211/MAX(1,L211/Premissas!$B$7))</x:f>
        <x:v>0.12405867067613183</x:v>
      </x:c>
      <x:c r="AA211" s="9" t="str">
        <x:f>IF(L211=0,"Venda imediata",IF(L211&lt;=60,"Baixo",IF(L211&lt;=120,"Médio","Alto")))</x:f>
        <x:v>Médio</x:v>
      </x:c>
      <x:c r="AB211" s="9" t="str">
        <x:f>IF(U211&lt;0,"Não fazer",IF(AA211="Alto","Risco seca",IF(Z211&gt;=0.03,"Bom giro","Margem ok")))</x:f>
        <x:v>Bom giro</x:v>
      </x:c>
    </x:row>
    <x:row r="212">
      <x:c r="A212" s="9" t="str">
        <x:v>Grupo médio 7,75@</x:v>
      </x:c>
      <x:c r="B212" s="9" t="str">
        <x:v>Agressiva</x:v>
      </x:c>
      <x:c r="C212" s="9" t="str">
        <x:v>Conservador</x:v>
      </x:c>
      <x:c r="D212" s="9" t="n">
        <x:v>11</x:v>
      </x:c>
      <x:c r="E212" s="11" t="n">
        <x:f>Premissas!$B$6</x:f>
        <x:v>330</x:v>
      </x:c>
      <x:c r="F212" s="9" t="n">
        <x:f>XLOOKUP(A212,Lotes!$A$4:$A$8,Lotes!$B$4:$B$8,0)</x:f>
        <x:v>0</x:v>
      </x:c>
      <x:c r="G212" s="13" t="n">
        <x:f>XLOOKUP(A212,Lotes!$A$4:$A$8,Lotes!$C$4:$C$8,0)</x:f>
        <x:v>7.75</x:v>
      </x:c>
      <x:c r="H212" s="13" t="n">
        <x:f>G212*Premissas!$B$5/Premissas!$B$4</x:f>
        <x:v>211.36363636363635</x:v>
      </x:c>
      <x:c r="I212" s="13" t="n">
        <x:f>D212*Premissas!$B$5/Premissas!$B$4</x:f>
        <x:v>300</x:v>
      </x:c>
      <x:c r="J212" s="13" t="n">
        <x:f>MAX(0,I212-H212)</x:f>
        <x:v>88.63636363636365</x:v>
      </x:c>
      <x:c r="K212" s="13" t="n">
        <x:f>SUMIFS('Cenários de GMD'!$C$4:$C$19,'Cenários de GMD'!$A$4:$A$19,B212,'Cenários de GMD'!$B$4:$B$19,C212)</x:f>
        <x:v>0.7</x:v>
      </x:c>
      <x:c r="L212" s="13" t="n">
        <x:f>IF(J212=0,0,J212/K212)</x:f>
        <x:v>126.62337662337666</x:v>
      </x:c>
      <x:c r="M212" s="13" t="n">
        <x:f>((H212+I212)/2)*SUMIFS('Cenários de GMD'!$D$4:$D$19,'Cenários de GMD'!$A$4:$A$19,B212,'Cenários de GMD'!$B$4:$B$19,C212)</x:f>
        <x:v>0.2556818181818182</x:v>
      </x:c>
      <x:c r="N212" s="13" t="n">
        <x:f>((H212+I212)/2)*SUMIFS('Cenários de GMD'!$E$4:$E$19,'Cenários de GMD'!$A$4:$A$19,B212,'Cenários de GMD'!$B$4:$B$19,C212)</x:f>
        <x:v>1.7897727272727273</x:v>
      </x:c>
      <x:c r="O212" s="11" t="n">
        <x:f>M212*Insumos!$E$4+N212*Insumos!$E$5</x:f>
        <x:v>4.325965909090909</x:v>
      </x:c>
      <x:c r="P212" s="11" t="n">
        <x:f>O212*Premissas!$B$7</x:f>
        <x:v>129.77897727272727</x:v>
      </x:c>
      <x:c r="Q212" s="11" t="n">
        <x:f>O212*L212</x:f>
        <x:v>547.7684105667062</x:v>
      </x:c>
      <x:c r="R212" s="11" t="n">
        <x:f>Premissas!$B$7*Premissas!$B$8*L212</x:f>
        <x:v>0</x:v>
      </x:c>
      <x:c r="S212" s="11" t="n">
        <x:f>D212*E212</x:f>
        <x:v>3630</x:v>
      </x:c>
      <x:c r="T212" s="11" t="n">
        <x:f>S212*F212</x:f>
        <x:v>0</x:v>
      </x:c>
      <x:c r="U212" s="11" t="n">
        <x:f>S212-XLOOKUP(A212,Lotes!$A$4:$A$8,Lotes!$D$4:$D$8,Premissas!$B$9)-Q212-R212</x:f>
        <x:v>1132.2315894332937</x:v>
      </x:c>
      <x:c r="V212" s="11" t="n">
        <x:f>U212*F212</x:f>
        <x:v>0</x:v>
      </x:c>
      <x:c r="W212" s="10" t="n">
        <x:f>IF(S212=0,0,U212/S212)</x:f>
        <x:v>0.3119095287695024</x:v>
      </x:c>
      <x:c r="X212" s="11" t="n">
        <x:f>IF(D212-G212&lt;=0,0,Q212/(D212-G212))</x:f>
        <x:v>168.5441263282173</x:v>
      </x:c>
      <x:c r="Y212" s="10" t="n">
        <x:f>IFERROR(U212/(XLOOKUP(A212,Lotes!$A$4:$A$8,Lotes!$D$4:$D$8,Premissas!$B$9)+Q212+R212),0)</x:f>
        <x:v>0.45329726512811785</x:v>
      </x:c>
      <x:c r="Z212" s="10" t="n">
        <x:f>IF(L212=0,Y212,Y212/MAX(1,L212/Premissas!$B$7))</x:f>
        <x:v>0.10739658281496943</x:v>
      </x:c>
      <x:c r="AA212" s="9" t="str">
        <x:f>IF(L212=0,"Venda imediata",IF(L212&lt;=60,"Baixo",IF(L212&lt;=120,"Médio","Alto")))</x:f>
        <x:v>Alto</x:v>
      </x:c>
      <x:c r="AB212" s="9" t="str">
        <x:f>IF(U212&lt;0,"Não fazer",IF(AA212="Alto","Risco seca",IF(Z212&gt;=0.03,"Bom giro","Margem ok")))</x:f>
        <x:v>Risco seca</x:v>
      </x:c>
    </x:row>
    <x:row r="213">
      <x:c r="A213" s="9" t="str">
        <x:v>Grupo médio 7,75@</x:v>
      </x:c>
      <x:c r="B213" s="9" t="str">
        <x:v>Agressiva</x:v>
      </x:c>
      <x:c r="C213" s="9" t="str">
        <x:v>Conservador</x:v>
      </x:c>
      <x:c r="D213" s="9" t="n">
        <x:v>12</x:v>
      </x:c>
      <x:c r="E213" s="11" t="n">
        <x:f>Premissas!$B$6</x:f>
        <x:v>330</x:v>
      </x:c>
      <x:c r="F213" s="9" t="n">
        <x:f>XLOOKUP(A213,Lotes!$A$4:$A$8,Lotes!$B$4:$B$8,0)</x:f>
        <x:v>0</x:v>
      </x:c>
      <x:c r="G213" s="13" t="n">
        <x:f>XLOOKUP(A213,Lotes!$A$4:$A$8,Lotes!$C$4:$C$8,0)</x:f>
        <x:v>7.75</x:v>
      </x:c>
      <x:c r="H213" s="13" t="n">
        <x:f>G213*Premissas!$B$5/Premissas!$B$4</x:f>
        <x:v>211.36363636363635</x:v>
      </x:c>
      <x:c r="I213" s="13" t="n">
        <x:f>D213*Premissas!$B$5/Premissas!$B$4</x:f>
        <x:v>327.27272727272725</x:v>
      </x:c>
      <x:c r="J213" s="13" t="n">
        <x:f>MAX(0,I213-H213)</x:f>
        <x:v>115.9090909090909</x:v>
      </x:c>
      <x:c r="K213" s="13" t="n">
        <x:f>SUMIFS('Cenários de GMD'!$C$4:$C$19,'Cenários de GMD'!$A$4:$A$19,B213,'Cenários de GMD'!$B$4:$B$19,C213)</x:f>
        <x:v>0.7</x:v>
      </x:c>
      <x:c r="L213" s="13" t="n">
        <x:f>IF(J213=0,0,J213/K213)</x:f>
        <x:v>165.58441558441558</x:v>
      </x:c>
      <x:c r="M213" s="13" t="n">
        <x:f>((H213+I213)/2)*SUMIFS('Cenários de GMD'!$D$4:$D$19,'Cenários de GMD'!$A$4:$A$19,B213,'Cenários de GMD'!$B$4:$B$19,C213)</x:f>
        <x:v>0.26931818181818185</x:v>
      </x:c>
      <x:c r="N213" s="13" t="n">
        <x:f>((H213+I213)/2)*SUMIFS('Cenários de GMD'!$E$4:$E$19,'Cenários de GMD'!$A$4:$A$19,B213,'Cenários de GMD'!$B$4:$B$19,C213)</x:f>
        <x:v>1.8852272727272728</x:v>
      </x:c>
      <x:c r="O213" s="11" t="n">
        <x:f>M213*Insumos!$E$4+N213*Insumos!$E$5</x:f>
        <x:v>4.5566840909090915</x:v>
      </x:c>
      <x:c r="P213" s="11" t="n">
        <x:f>O213*Premissas!$B$7</x:f>
        <x:v>136.70052272727276</x:v>
      </x:c>
      <x:c r="Q213" s="11" t="n">
        <x:f>O213*L213</x:f>
        <x:v>754.5158721959859</x:v>
      </x:c>
      <x:c r="R213" s="11" t="n">
        <x:f>Premissas!$B$7*Premissas!$B$8*L213</x:f>
        <x:v>0</x:v>
      </x:c>
      <x:c r="S213" s="11" t="n">
        <x:f>D213*E213</x:f>
        <x:v>3960</x:v>
      </x:c>
      <x:c r="T213" s="11" t="n">
        <x:f>S213*F213</x:f>
        <x:v>0</x:v>
      </x:c>
      <x:c r="U213" s="11" t="n">
        <x:f>S213-XLOOKUP(A213,Lotes!$A$4:$A$8,Lotes!$D$4:$D$8,Premissas!$B$9)-Q213-R213</x:f>
        <x:v>1255.484127804014</x:v>
      </x:c>
      <x:c r="V213" s="11" t="n">
        <x:f>U213*F213</x:f>
        <x:v>0</x:v>
      </x:c>
      <x:c r="W213" s="10" t="n">
        <x:f>IF(S213=0,0,U213/S213)</x:f>
        <x:v>0.317041446415155</x:v>
      </x:c>
      <x:c r="X213" s="11" t="n">
        <x:f>IF(D213-G213&lt;=0,0,Q213/(D213-G213))</x:f>
        <x:v>177.5331463990555</x:v>
      </x:c>
      <x:c r="Y213" s="10" t="n">
        <x:f>IFERROR(U213/(XLOOKUP(A213,Lotes!$A$4:$A$8,Lotes!$D$4:$D$8,Premissas!$B$9)+Q213+R213),0)</x:f>
        <x:v>0.4642176963023694</x:v>
      </x:c>
      <x:c r="Z213" s="10" t="n">
        <x:f>IF(L213=0,Y213,Y213/MAX(1,L213/Premissas!$B$7))</x:f>
        <x:v>0.08410532380066457</x:v>
      </x:c>
      <x:c r="AA213" s="9" t="str">
        <x:f>IF(L213=0,"Venda imediata",IF(L213&lt;=60,"Baixo",IF(L213&lt;=120,"Médio","Alto")))</x:f>
        <x:v>Alto</x:v>
      </x:c>
      <x:c r="AB213" s="9" t="str">
        <x:f>IF(U213&lt;0,"Não fazer",IF(AA213="Alto","Risco seca",IF(Z213&gt;=0.03,"Bom giro","Margem ok")))</x:f>
        <x:v>Risco seca</x:v>
      </x:c>
    </x:row>
    <x:row r="214">
      <x:c r="A214" s="9" t="str">
        <x:v>Grupo médio 7,75@</x:v>
      </x:c>
      <x:c r="B214" s="9" t="str">
        <x:v>Agressiva</x:v>
      </x:c>
      <x:c r="C214" s="9" t="str">
        <x:v>Base</x:v>
      </x:c>
      <x:c r="D214" s="9" t="n">
        <x:v>8.5</x:v>
      </x:c>
      <x:c r="E214" s="11" t="n">
        <x:f>Premissas!$B$6</x:f>
        <x:v>330</x:v>
      </x:c>
      <x:c r="F214" s="9" t="n">
        <x:f>XLOOKUP(A214,Lotes!$A$4:$A$8,Lotes!$B$4:$B$8,0)</x:f>
        <x:v>0</x:v>
      </x:c>
      <x:c r="G214" s="13" t="n">
        <x:f>XLOOKUP(A214,Lotes!$A$4:$A$8,Lotes!$C$4:$C$8,0)</x:f>
        <x:v>7.75</x:v>
      </x:c>
      <x:c r="H214" s="13" t="n">
        <x:f>G214*Premissas!$B$5/Premissas!$B$4</x:f>
        <x:v>211.36363636363635</x:v>
      </x:c>
      <x:c r="I214" s="13" t="n">
        <x:f>D214*Premissas!$B$5/Premissas!$B$4</x:f>
        <x:v>231.8181818181818</x:v>
      </x:c>
      <x:c r="J214" s="13" t="n">
        <x:f>MAX(0,I214-H214)</x:f>
        <x:v>20.454545454545467</x:v>
      </x:c>
      <x:c r="K214" s="13" t="n">
        <x:f>SUMIFS('Cenários de GMD'!$C$4:$C$19,'Cenários de GMD'!$A$4:$A$19,B214,'Cenários de GMD'!$B$4:$B$19,C214)</x:f>
        <x:v>0.85</x:v>
      </x:c>
      <x:c r="L214" s="13" t="n">
        <x:f>IF(J214=0,0,J214/K214)</x:f>
        <x:v>24.06417112299467</x:v>
      </x:c>
      <x:c r="M214" s="13" t="n">
        <x:f>((H214+I214)/2)*SUMIFS('Cenários de GMD'!$D$4:$D$19,'Cenários de GMD'!$A$4:$A$19,B214,'Cenários de GMD'!$B$4:$B$19,C214)</x:f>
        <x:v>0.22159090909090906</x:v>
      </x:c>
      <x:c r="N214" s="13" t="n">
        <x:f>((H214+I214)/2)*SUMIFS('Cenários de GMD'!$E$4:$E$19,'Cenários de GMD'!$A$4:$A$19,B214,'Cenários de GMD'!$B$4:$B$19,C214)</x:f>
        <x:v>1.5511363636363635</x:v>
      </x:c>
      <x:c r="O214" s="11" t="n">
        <x:f>M214*Insumos!$E$4+N214*Insumos!$E$5</x:f>
        <x:v>3.749170454545454</x:v>
      </x:c>
      <x:c r="P214" s="11" t="n">
        <x:f>O214*Premissas!$B$7</x:f>
        <x:v>112.47511363636362</x:v>
      </x:c>
      <x:c r="Q214" s="11" t="n">
        <x:f>O214*L214</x:f>
        <x:v>90.22067938745751</x:v>
      </x:c>
      <x:c r="R214" s="11" t="n">
        <x:f>Premissas!$B$7*Premissas!$B$8*L214</x:f>
        <x:v>0</x:v>
      </x:c>
      <x:c r="S214" s="11" t="n">
        <x:f>D214*E214</x:f>
        <x:v>2805</x:v>
      </x:c>
      <x:c r="T214" s="11" t="n">
        <x:f>S214*F214</x:f>
        <x:v>0</x:v>
      </x:c>
      <x:c r="U214" s="11" t="n">
        <x:f>S214-XLOOKUP(A214,Lotes!$A$4:$A$8,Lotes!$D$4:$D$8,Premissas!$B$9)-Q214-R214</x:f>
        <x:v>764.7793206125425</x:v>
      </x:c>
      <x:c r="V214" s="11" t="n">
        <x:f>U214*F214</x:f>
        <x:v>0</x:v>
      </x:c>
      <x:c r="W214" s="10" t="n">
        <x:f>IF(S214=0,0,U214/S214)</x:f>
        <x:v>0.27264859914885653</x:v>
      </x:c>
      <x:c r="X214" s="11" t="n">
        <x:f>IF(D214-G214&lt;=0,0,Q214/(D214-G214))</x:f>
        <x:v>120.29423918327667</x:v>
      </x:c>
      <x:c r="Y214" s="10" t="n">
        <x:f>IFERROR(U214/(XLOOKUP(A214,Lotes!$A$4:$A$8,Lotes!$D$4:$D$8,Premissas!$B$9)+Q214+R214),0)</x:f>
        <x:v>0.3748512738544317</x:v>
      </x:c>
      <x:c r="Z214" s="10" t="n">
        <x:f>IF(L214=0,Y214,Y214/MAX(1,L214/Premissas!$B$7))</x:f>
        <x:v>0.3748512738544317</x:v>
      </x:c>
      <x:c r="AA214" s="9" t="str">
        <x:f>IF(L214=0,"Venda imediata",IF(L214&lt;=60,"Baixo",IF(L214&lt;=120,"Médio","Alto")))</x:f>
        <x:v>Baixo</x:v>
      </x:c>
      <x:c r="AB214" s="9" t="str">
        <x:f>IF(U214&lt;0,"Não fazer",IF(AA214="Alto","Risco seca",IF(Z214&gt;=0.03,"Bom giro","Margem ok")))</x:f>
        <x:v>Bom giro</x:v>
      </x:c>
    </x:row>
    <x:row r="215">
      <x:c r="A215" s="9" t="str">
        <x:v>Grupo médio 7,75@</x:v>
      </x:c>
      <x:c r="B215" s="9" t="str">
        <x:v>Agressiva</x:v>
      </x:c>
      <x:c r="C215" s="9" t="str">
        <x:v>Base</x:v>
      </x:c>
      <x:c r="D215" s="9" t="n">
        <x:v>9</x:v>
      </x:c>
      <x:c r="E215" s="11" t="n">
        <x:f>Premissas!$B$6</x:f>
        <x:v>330</x:v>
      </x:c>
      <x:c r="F215" s="9" t="n">
        <x:f>XLOOKUP(A215,Lotes!$A$4:$A$8,Lotes!$B$4:$B$8,0)</x:f>
        <x:v>0</x:v>
      </x:c>
      <x:c r="G215" s="13" t="n">
        <x:f>XLOOKUP(A215,Lotes!$A$4:$A$8,Lotes!$C$4:$C$8,0)</x:f>
        <x:v>7.75</x:v>
      </x:c>
      <x:c r="H215" s="13" t="n">
        <x:f>G215*Premissas!$B$5/Premissas!$B$4</x:f>
        <x:v>211.36363636363635</x:v>
      </x:c>
      <x:c r="I215" s="13" t="n">
        <x:f>D215*Premissas!$B$5/Premissas!$B$4</x:f>
        <x:v>245.45454545454544</x:v>
      </x:c>
      <x:c r="J215" s="13" t="n">
        <x:f>MAX(0,I215-H215)</x:f>
        <x:v>34.09090909090909</x:v>
      </x:c>
      <x:c r="K215" s="13" t="n">
        <x:f>SUMIFS('Cenários de GMD'!$C$4:$C$19,'Cenários de GMD'!$A$4:$A$19,B215,'Cenários de GMD'!$B$4:$B$19,C215)</x:f>
        <x:v>0.85</x:v>
      </x:c>
      <x:c r="L215" s="13" t="n">
        <x:f>IF(J215=0,0,J215/K215)</x:f>
        <x:v>40.106951871657756</x:v>
      </x:c>
      <x:c r="M215" s="13" t="n">
        <x:f>((H215+I215)/2)*SUMIFS('Cenários de GMD'!$D$4:$D$19,'Cenários de GMD'!$A$4:$A$19,B215,'Cenários de GMD'!$B$4:$B$19,C215)</x:f>
        <x:v>0.2284090909090909</x:v>
      </x:c>
      <x:c r="N215" s="13" t="n">
        <x:f>((H215+I215)/2)*SUMIFS('Cenários de GMD'!$E$4:$E$19,'Cenários de GMD'!$A$4:$A$19,B215,'Cenários de GMD'!$B$4:$B$19,C215)</x:f>
        <x:v>1.5988636363636362</x:v>
      </x:c>
      <x:c r="O215" s="11" t="n">
        <x:f>M215*Insumos!$E$4+N215*Insumos!$E$5</x:f>
        <x:v>3.864529545454545</x:v>
      </x:c>
      <x:c r="P215" s="11" t="n">
        <x:f>O215*Premissas!$B$7</x:f>
        <x:v>115.93588636363636</x:v>
      </x:c>
      <x:c r="Q215" s="11" t="n">
        <x:f>O215*L215</x:f>
        <x:v>154.99450048614486</x:v>
      </x:c>
      <x:c r="R215" s="11" t="n">
        <x:f>Premissas!$B$7*Premissas!$B$8*L215</x:f>
        <x:v>0</x:v>
      </x:c>
      <x:c r="S215" s="11" t="n">
        <x:f>D215*E215</x:f>
        <x:v>2970</x:v>
      </x:c>
      <x:c r="T215" s="11" t="n">
        <x:f>S215*F215</x:f>
        <x:v>0</x:v>
      </x:c>
      <x:c r="U215" s="11" t="n">
        <x:f>S215-XLOOKUP(A215,Lotes!$A$4:$A$8,Lotes!$D$4:$D$8,Premissas!$B$9)-Q215-R215</x:f>
        <x:v>865.0054995138552</x:v>
      </x:c>
      <x:c r="V215" s="11" t="n">
        <x:f>U215*F215</x:f>
        <x:v>0</x:v>
      </x:c>
      <x:c r="W215" s="10" t="n">
        <x:f>IF(S215=0,0,U215/S215)</x:f>
        <x:v>0.291247642933958</x:v>
      </x:c>
      <x:c r="X215" s="11" t="n">
        <x:f>IF(D215-G215&lt;=0,0,Q215/(D215-G215))</x:f>
        <x:v>123.99560038891589</x:v>
      </x:c>
      <x:c r="Y215" s="10" t="n">
        <x:f>IFERROR(U215/(XLOOKUP(A215,Lotes!$A$4:$A$8,Lotes!$D$4:$D$8,Premissas!$B$9)+Q215+R215),0)</x:f>
        <x:v>0.41093005198544874</x:v>
      </x:c>
      <x:c r="Z215" s="10" t="n">
        <x:f>IF(L215=0,Y215,Y215/MAX(1,L215/Premissas!$B$7))</x:f>
        <x:v>0.30737567888511563</x:v>
      </x:c>
      <x:c r="AA215" s="9" t="str">
        <x:f>IF(L215=0,"Venda imediata",IF(L215&lt;=60,"Baixo",IF(L215&lt;=120,"Médio","Alto")))</x:f>
        <x:v>Baixo</x:v>
      </x:c>
      <x:c r="AB215" s="9" t="str">
        <x:f>IF(U215&lt;0,"Não fazer",IF(AA215="Alto","Risco seca",IF(Z215&gt;=0.03,"Bom giro","Margem ok")))</x:f>
        <x:v>Bom giro</x:v>
      </x:c>
    </x:row>
    <x:row r="216">
      <x:c r="A216" s="9" t="str">
        <x:v>Grupo médio 7,75@</x:v>
      </x:c>
      <x:c r="B216" s="9" t="str">
        <x:v>Agressiva</x:v>
      </x:c>
      <x:c r="C216" s="9" t="str">
        <x:v>Base</x:v>
      </x:c>
      <x:c r="D216" s="9" t="n">
        <x:v>10.5</x:v>
      </x:c>
      <x:c r="E216" s="11" t="n">
        <x:f>Premissas!$B$6</x:f>
        <x:v>330</x:v>
      </x:c>
      <x:c r="F216" s="9" t="n">
        <x:f>XLOOKUP(A216,Lotes!$A$4:$A$8,Lotes!$B$4:$B$8,0)</x:f>
        <x:v>0</x:v>
      </x:c>
      <x:c r="G216" s="13" t="n">
        <x:f>XLOOKUP(A216,Lotes!$A$4:$A$8,Lotes!$C$4:$C$8,0)</x:f>
        <x:v>7.75</x:v>
      </x:c>
      <x:c r="H216" s="13" t="n">
        <x:f>G216*Premissas!$B$5/Premissas!$B$4</x:f>
        <x:v>211.36363636363635</x:v>
      </x:c>
      <x:c r="I216" s="13" t="n">
        <x:f>D216*Premissas!$B$5/Premissas!$B$4</x:f>
        <x:v>286.3636363636363</x:v>
      </x:c>
      <x:c r="J216" s="13" t="n">
        <x:f>MAX(0,I216-H216)</x:f>
        <x:v>74.99999999999997</x:v>
      </x:c>
      <x:c r="K216" s="13" t="n">
        <x:f>SUMIFS('Cenários de GMD'!$C$4:$C$19,'Cenários de GMD'!$A$4:$A$19,B216,'Cenários de GMD'!$B$4:$B$19,C216)</x:f>
        <x:v>0.85</x:v>
      </x:c>
      <x:c r="L216" s="13" t="n">
        <x:f>IF(J216=0,0,J216/K216)</x:f>
        <x:v>88.23529411764703</x:v>
      </x:c>
      <x:c r="M216" s="13" t="n">
        <x:f>((H216+I216)/2)*SUMIFS('Cenários de GMD'!$D$4:$D$19,'Cenários de GMD'!$A$4:$A$19,B216,'Cenários de GMD'!$B$4:$B$19,C216)</x:f>
        <x:v>0.24886363636363631</x:v>
      </x:c>
      <x:c r="N216" s="13" t="n">
        <x:f>((H216+I216)/2)*SUMIFS('Cenários de GMD'!$E$4:$E$19,'Cenários de GMD'!$A$4:$A$19,B216,'Cenários de GMD'!$B$4:$B$19,C216)</x:f>
        <x:v>1.7420454545454542</x:v>
      </x:c>
      <x:c r="O216" s="11" t="n">
        <x:f>M216*Insumos!$E$4+N216*Insumos!$E$5</x:f>
        <x:v>4.210606818181818</x:v>
      </x:c>
      <x:c r="P216" s="11" t="n">
        <x:f>O216*Premissas!$B$7</x:f>
        <x:v>126.31820454545453</x:v>
      </x:c>
      <x:c r="Q216" s="11" t="n">
        <x:f>O216*L216</x:f>
        <x:v>371.5241310160426</x:v>
      </x:c>
      <x:c r="R216" s="11" t="n">
        <x:f>Premissas!$B$7*Premissas!$B$8*L216</x:f>
        <x:v>0</x:v>
      </x:c>
      <x:c r="S216" s="11" t="n">
        <x:f>D216*E216</x:f>
        <x:v>3465</x:v>
      </x:c>
      <x:c r="T216" s="11" t="n">
        <x:f>S216*F216</x:f>
        <x:v>0</x:v>
      </x:c>
      <x:c r="U216" s="11" t="n">
        <x:f>S216-XLOOKUP(A216,Lotes!$A$4:$A$8,Lotes!$D$4:$D$8,Premissas!$B$9)-Q216-R216</x:f>
        <x:v>1143.4758689839573</x:v>
      </x:c>
      <x:c r="V216" s="11" t="n">
        <x:f>U216*F216</x:f>
        <x:v>0</x:v>
      </x:c>
      <x:c r="W216" s="10" t="n">
        <x:f>IF(S216=0,0,U216/S216)</x:f>
        <x:v>0.33000746579623585</x:v>
      </x:c>
      <x:c r="X216" s="11" t="n">
        <x:f>IF(D216-G216&lt;=0,0,Q216/(D216-G216))</x:f>
        <x:v>135.09968400583367</x:v>
      </x:c>
      <x:c r="Y216" s="10" t="n">
        <x:f>IFERROR(U216/(XLOOKUP(A216,Lotes!$A$4:$A$8,Lotes!$D$4:$D$8,Premissas!$B$9)+Q216+R216),0)</x:f>
        <x:v>0.4925539449307819</x:v>
      </x:c>
      <x:c r="Z216" s="10" t="n">
        <x:f>IF(L216=0,Y216,Y216/MAX(1,L216/Premissas!$B$7))</x:f>
        <x:v>0.16746834127646593</x:v>
      </x:c>
      <x:c r="AA216" s="9" t="str">
        <x:f>IF(L216=0,"Venda imediata",IF(L216&lt;=60,"Baixo",IF(L216&lt;=120,"Médio","Alto")))</x:f>
        <x:v>Médio</x:v>
      </x:c>
      <x:c r="AB216" s="9" t="str">
        <x:f>IF(U216&lt;0,"Não fazer",IF(AA216="Alto","Risco seca",IF(Z216&gt;=0.03,"Bom giro","Margem ok")))</x:f>
        <x:v>Bom giro</x:v>
      </x:c>
    </x:row>
    <x:row r="217">
      <x:c r="A217" s="9" t="str">
        <x:v>Grupo médio 7,75@</x:v>
      </x:c>
      <x:c r="B217" s="9" t="str">
        <x:v>Agressiva</x:v>
      </x:c>
      <x:c r="C217" s="9" t="str">
        <x:v>Base</x:v>
      </x:c>
      <x:c r="D217" s="9" t="n">
        <x:v>11</x:v>
      </x:c>
      <x:c r="E217" s="11" t="n">
        <x:f>Premissas!$B$6</x:f>
        <x:v>330</x:v>
      </x:c>
      <x:c r="F217" s="9" t="n">
        <x:f>XLOOKUP(A217,Lotes!$A$4:$A$8,Lotes!$B$4:$B$8,0)</x:f>
        <x:v>0</x:v>
      </x:c>
      <x:c r="G217" s="13" t="n">
        <x:f>XLOOKUP(A217,Lotes!$A$4:$A$8,Lotes!$C$4:$C$8,0)</x:f>
        <x:v>7.75</x:v>
      </x:c>
      <x:c r="H217" s="13" t="n">
        <x:f>G217*Premissas!$B$5/Premissas!$B$4</x:f>
        <x:v>211.36363636363635</x:v>
      </x:c>
      <x:c r="I217" s="13" t="n">
        <x:f>D217*Premissas!$B$5/Premissas!$B$4</x:f>
        <x:v>300</x:v>
      </x:c>
      <x:c r="J217" s="13" t="n">
        <x:f>MAX(0,I217-H217)</x:f>
        <x:v>88.63636363636365</x:v>
      </x:c>
      <x:c r="K217" s="13" t="n">
        <x:f>SUMIFS('Cenários de GMD'!$C$4:$C$19,'Cenários de GMD'!$A$4:$A$19,B217,'Cenários de GMD'!$B$4:$B$19,C217)</x:f>
        <x:v>0.85</x:v>
      </x:c>
      <x:c r="L217" s="13" t="n">
        <x:f>IF(J217=0,0,J217/K217)</x:f>
        <x:v>104.27807486631018</x:v>
      </x:c>
      <x:c r="M217" s="13" t="n">
        <x:f>((H217+I217)/2)*SUMIFS('Cenários de GMD'!$D$4:$D$19,'Cenários de GMD'!$A$4:$A$19,B217,'Cenários de GMD'!$B$4:$B$19,C217)</x:f>
        <x:v>0.2556818181818182</x:v>
      </x:c>
      <x:c r="N217" s="13" t="n">
        <x:f>((H217+I217)/2)*SUMIFS('Cenários de GMD'!$E$4:$E$19,'Cenários de GMD'!$A$4:$A$19,B217,'Cenários de GMD'!$B$4:$B$19,C217)</x:f>
        <x:v>1.7897727272727273</x:v>
      </x:c>
      <x:c r="O217" s="11" t="n">
        <x:f>M217*Insumos!$E$4+N217*Insumos!$E$5</x:f>
        <x:v>4.325965909090909</x:v>
      </x:c>
      <x:c r="P217" s="11" t="n">
        <x:f>O217*Premissas!$B$7</x:f>
        <x:v>129.77897727272727</x:v>
      </x:c>
      <x:c r="Q217" s="11" t="n">
        <x:f>O217*L217</x:f>
        <x:v>451.1033969372874</x:v>
      </x:c>
      <x:c r="R217" s="11" t="n">
        <x:f>Premissas!$B$7*Premissas!$B$8*L217</x:f>
        <x:v>0</x:v>
      </x:c>
      <x:c r="S217" s="11" t="n">
        <x:f>D217*E217</x:f>
        <x:v>3630</x:v>
      </x:c>
      <x:c r="T217" s="11" t="n">
        <x:f>S217*F217</x:f>
        <x:v>0</x:v>
      </x:c>
      <x:c r="U217" s="11" t="n">
        <x:f>S217-XLOOKUP(A217,Lotes!$A$4:$A$8,Lotes!$D$4:$D$8,Premissas!$B$9)-Q217-R217</x:f>
        <x:v>1228.8966030627125</x:v>
      </x:c>
      <x:c r="V217" s="11" t="n">
        <x:f>U217*F217</x:f>
        <x:v>0</x:v>
      </x:c>
      <x:c r="W217" s="10" t="n">
        <x:f>IF(S217=0,0,U217/S217)</x:f>
        <x:v>0.3385390091081853</x:v>
      </x:c>
      <x:c r="X217" s="11" t="n">
        <x:f>IF(D217-G217&lt;=0,0,Q217/(D217-G217))</x:f>
        <x:v>138.80104521147305</x:v>
      </x:c>
      <x:c r="Y217" s="10" t="n">
        <x:f>IFERROR(U217/(XLOOKUP(A217,Lotes!$A$4:$A$8,Lotes!$D$4:$D$8,Premissas!$B$9)+Q217+R217),0)</x:f>
        <x:v>0.5118049496036797</x:v>
      </x:c>
      <x:c r="Z217" s="10" t="n">
        <x:f>IF(L217=0,Y217,Y217/MAX(1,L217/Premissas!$B$7))</x:f>
        <x:v>0.14724234703982783</x:v>
      </x:c>
      <x:c r="AA217" s="9" t="str">
        <x:f>IF(L217=0,"Venda imediata",IF(L217&lt;=60,"Baixo",IF(L217&lt;=120,"Médio","Alto")))</x:f>
        <x:v>Médio</x:v>
      </x:c>
      <x:c r="AB217" s="9" t="str">
        <x:f>IF(U217&lt;0,"Não fazer",IF(AA217="Alto","Risco seca",IF(Z217&gt;=0.03,"Bom giro","Margem ok")))</x:f>
        <x:v>Bom giro</x:v>
      </x:c>
    </x:row>
    <x:row r="218">
      <x:c r="A218" s="9" t="str">
        <x:v>Grupo médio 7,75@</x:v>
      </x:c>
      <x:c r="B218" s="9" t="str">
        <x:v>Agressiva</x:v>
      </x:c>
      <x:c r="C218" s="9" t="str">
        <x:v>Base</x:v>
      </x:c>
      <x:c r="D218" s="9" t="n">
        <x:v>12</x:v>
      </x:c>
      <x:c r="E218" s="11" t="n">
        <x:f>Premissas!$B$6</x:f>
        <x:v>330</x:v>
      </x:c>
      <x:c r="F218" s="9" t="n">
        <x:f>XLOOKUP(A218,Lotes!$A$4:$A$8,Lotes!$B$4:$B$8,0)</x:f>
        <x:v>0</x:v>
      </x:c>
      <x:c r="G218" s="13" t="n">
        <x:f>XLOOKUP(A218,Lotes!$A$4:$A$8,Lotes!$C$4:$C$8,0)</x:f>
        <x:v>7.75</x:v>
      </x:c>
      <x:c r="H218" s="13" t="n">
        <x:f>G218*Premissas!$B$5/Premissas!$B$4</x:f>
        <x:v>211.36363636363635</x:v>
      </x:c>
      <x:c r="I218" s="13" t="n">
        <x:f>D218*Premissas!$B$5/Premissas!$B$4</x:f>
        <x:v>327.27272727272725</x:v>
      </x:c>
      <x:c r="J218" s="13" t="n">
        <x:f>MAX(0,I218-H218)</x:f>
        <x:v>115.9090909090909</x:v>
      </x:c>
      <x:c r="K218" s="13" t="n">
        <x:f>SUMIFS('Cenários de GMD'!$C$4:$C$19,'Cenários de GMD'!$A$4:$A$19,B218,'Cenários de GMD'!$B$4:$B$19,C218)</x:f>
        <x:v>0.85</x:v>
      </x:c>
      <x:c r="L218" s="13" t="n">
        <x:f>IF(J218=0,0,J218/K218)</x:f>
        <x:v>136.36363636363637</x:v>
      </x:c>
      <x:c r="M218" s="13" t="n">
        <x:f>((H218+I218)/2)*SUMIFS('Cenários de GMD'!$D$4:$D$19,'Cenários de GMD'!$A$4:$A$19,B218,'Cenários de GMD'!$B$4:$B$19,C218)</x:f>
        <x:v>0.26931818181818185</x:v>
      </x:c>
      <x:c r="N218" s="13" t="n">
        <x:f>((H218+I218)/2)*SUMIFS('Cenários de GMD'!$E$4:$E$19,'Cenários de GMD'!$A$4:$A$19,B218,'Cenários de GMD'!$B$4:$B$19,C218)</x:f>
        <x:v>1.8852272727272728</x:v>
      </x:c>
      <x:c r="O218" s="11" t="n">
        <x:f>M218*Insumos!$E$4+N218*Insumos!$E$5</x:f>
        <x:v>4.5566840909090915</x:v>
      </x:c>
      <x:c r="P218" s="11" t="n">
        <x:f>O218*Premissas!$B$7</x:f>
        <x:v>136.70052272727276</x:v>
      </x:c>
      <x:c r="Q218" s="11" t="n">
        <x:f>O218*L218</x:f>
        <x:v>621.3660123966944</x:v>
      </x:c>
      <x:c r="R218" s="11" t="n">
        <x:f>Premissas!$B$7*Premissas!$B$8*L218</x:f>
        <x:v>0</x:v>
      </x:c>
      <x:c r="S218" s="11" t="n">
        <x:f>D218*E218</x:f>
        <x:v>3960</x:v>
      </x:c>
      <x:c r="T218" s="11" t="n">
        <x:f>S218*F218</x:f>
        <x:v>0</x:v>
      </x:c>
      <x:c r="U218" s="11" t="n">
        <x:f>S218-XLOOKUP(A218,Lotes!$A$4:$A$8,Lotes!$D$4:$D$8,Premissas!$B$9)-Q218-R218</x:f>
        <x:v>1388.6339876033057</x:v>
      </x:c>
      <x:c r="V218" s="11" t="n">
        <x:f>U218*F218</x:f>
        <x:v>0</x:v>
      </x:c>
      <x:c r="W218" s="10" t="n">
        <x:f>IF(S218=0,0,U218/S218)</x:f>
        <x:v>0.35066514838467316</x:v>
      </x:c>
      <x:c r="X218" s="11" t="n">
        <x:f>IF(D218-G218&lt;=0,0,Q218/(D218-G218))</x:f>
        <x:v>146.20376762275163</x:v>
      </x:c>
      <x:c r="Y218" s="10" t="n">
        <x:f>IFERROR(U218/(XLOOKUP(A218,Lotes!$A$4:$A$8,Lotes!$D$4:$D$8,Premissas!$B$9)+Q218+R218),0)</x:f>
        <x:v>0.5400374668206029</x:v>
      </x:c>
      <x:c r="Z218" s="10" t="n">
        <x:f>IF(L218=0,Y218,Y218/MAX(1,L218/Premissas!$B$7))</x:f>
        <x:v>0.11880824270053264</x:v>
      </x:c>
      <x:c r="AA218" s="9" t="str">
        <x:f>IF(L218=0,"Venda imediata",IF(L218&lt;=60,"Baixo",IF(L218&lt;=120,"Médio","Alto")))</x:f>
        <x:v>Alto</x:v>
      </x:c>
      <x:c r="AB218" s="9" t="str">
        <x:f>IF(U218&lt;0,"Não fazer",IF(AA218="Alto","Risco seca",IF(Z218&gt;=0.03,"Bom giro","Margem ok")))</x:f>
        <x:v>Risco seca</x:v>
      </x:c>
    </x:row>
    <x:row r="219">
      <x:c r="A219" s="9" t="str">
        <x:v>Grupo médio 7,75@</x:v>
      </x:c>
      <x:c r="B219" s="9" t="str">
        <x:v>Agressiva</x:v>
      </x:c>
      <x:c r="C219" s="9" t="str">
        <x:v>Bom</x:v>
      </x:c>
      <x:c r="D219" s="9" t="n">
        <x:v>8.5</x:v>
      </x:c>
      <x:c r="E219" s="11" t="n">
        <x:f>Premissas!$B$6</x:f>
        <x:v>330</x:v>
      </x:c>
      <x:c r="F219" s="9" t="n">
        <x:f>XLOOKUP(A219,Lotes!$A$4:$A$8,Lotes!$B$4:$B$8,0)</x:f>
        <x:v>0</x:v>
      </x:c>
      <x:c r="G219" s="13" t="n">
        <x:f>XLOOKUP(A219,Lotes!$A$4:$A$8,Lotes!$C$4:$C$8,0)</x:f>
        <x:v>7.75</x:v>
      </x:c>
      <x:c r="H219" s="13" t="n">
        <x:f>G219*Premissas!$B$5/Premissas!$B$4</x:f>
        <x:v>211.36363636363635</x:v>
      </x:c>
      <x:c r="I219" s="13" t="n">
        <x:f>D219*Premissas!$B$5/Premissas!$B$4</x:f>
        <x:v>231.8181818181818</x:v>
      </x:c>
      <x:c r="J219" s="13" t="n">
        <x:f>MAX(0,I219-H219)</x:f>
        <x:v>20.454545454545467</x:v>
      </x:c>
      <x:c r="K219" s="13" t="n">
        <x:f>SUMIFS('Cenários de GMD'!$C$4:$C$19,'Cenários de GMD'!$A$4:$A$19,B219,'Cenários de GMD'!$B$4:$B$19,C219)</x:f>
        <x:v>1</x:v>
      </x:c>
      <x:c r="L219" s="13" t="n">
        <x:f>IF(J219=0,0,J219/K219)</x:f>
        <x:v>20.454545454545467</x:v>
      </x:c>
      <x:c r="M219" s="13" t="n">
        <x:f>((H219+I219)/2)*SUMIFS('Cenários de GMD'!$D$4:$D$19,'Cenários de GMD'!$A$4:$A$19,B219,'Cenários de GMD'!$B$4:$B$19,C219)</x:f>
        <x:v>0.22159090909090906</x:v>
      </x:c>
      <x:c r="N219" s="13" t="n">
        <x:f>((H219+I219)/2)*SUMIFS('Cenários de GMD'!$E$4:$E$19,'Cenários de GMD'!$A$4:$A$19,B219,'Cenários de GMD'!$B$4:$B$19,C219)</x:f>
        <x:v>1.5511363636363635</x:v>
      </x:c>
      <x:c r="O219" s="11" t="n">
        <x:f>M219*Insumos!$E$4+N219*Insumos!$E$5</x:f>
        <x:v>3.749170454545454</x:v>
      </x:c>
      <x:c r="P219" s="11" t="n">
        <x:f>O219*Premissas!$B$7</x:f>
        <x:v>112.47511363636362</x:v>
      </x:c>
      <x:c r="Q219" s="11" t="n">
        <x:f>O219*L219</x:f>
        <x:v>76.68757747933888</x:v>
      </x:c>
      <x:c r="R219" s="11" t="n">
        <x:f>Premissas!$B$7*Premissas!$B$8*L219</x:f>
        <x:v>0</x:v>
      </x:c>
      <x:c r="S219" s="11" t="n">
        <x:f>D219*E219</x:f>
        <x:v>2805</x:v>
      </x:c>
      <x:c r="T219" s="11" t="n">
        <x:f>S219*F219</x:f>
        <x:v>0</x:v>
      </x:c>
      <x:c r="U219" s="11" t="n">
        <x:f>S219-XLOOKUP(A219,Lotes!$A$4:$A$8,Lotes!$D$4:$D$8,Premissas!$B$9)-Q219-R219</x:f>
        <x:v>778.3124225206611</x:v>
      </x:c>
      <x:c r="V219" s="11" t="n">
        <x:f>U219*F219</x:f>
        <x:v>0</x:v>
      </x:c>
      <x:c r="W219" s="10" t="n">
        <x:f>IF(S219=0,0,U219/S219)</x:f>
        <x:v>0.2774732344102179</x:v>
      </x:c>
      <x:c r="X219" s="11" t="n">
        <x:f>IF(D219-G219&lt;=0,0,Q219/(D219-G219))</x:f>
        <x:v>102.25010330578517</x:v>
      </x:c>
      <x:c r="Y219" s="10" t="n">
        <x:f>IFERROR(U219/(XLOOKUP(A219,Lotes!$A$4:$A$8,Lotes!$D$4:$D$8,Premissas!$B$9)+Q219+R219),0)</x:f>
        <x:v>0.38403177241983943</x:v>
      </x:c>
      <x:c r="Z219" s="10" t="n">
        <x:f>IF(L219=0,Y219,Y219/MAX(1,L219/Premissas!$B$7))</x:f>
        <x:v>0.38403177241983943</x:v>
      </x:c>
      <x:c r="AA219" s="9" t="str">
        <x:f>IF(L219=0,"Venda imediata",IF(L219&lt;=60,"Baixo",IF(L219&lt;=120,"Médio","Alto")))</x:f>
        <x:v>Baixo</x:v>
      </x:c>
      <x:c r="AB219" s="9" t="str">
        <x:f>IF(U219&lt;0,"Não fazer",IF(AA219="Alto","Risco seca",IF(Z219&gt;=0.03,"Bom giro","Margem ok")))</x:f>
        <x:v>Bom giro</x:v>
      </x:c>
    </x:row>
    <x:row r="220">
      <x:c r="A220" s="9" t="str">
        <x:v>Grupo médio 7,75@</x:v>
      </x:c>
      <x:c r="B220" s="9" t="str">
        <x:v>Agressiva</x:v>
      </x:c>
      <x:c r="C220" s="9" t="str">
        <x:v>Bom</x:v>
      </x:c>
      <x:c r="D220" s="9" t="n">
        <x:v>9</x:v>
      </x:c>
      <x:c r="E220" s="11" t="n">
        <x:f>Premissas!$B$6</x:f>
        <x:v>330</x:v>
      </x:c>
      <x:c r="F220" s="9" t="n">
        <x:f>XLOOKUP(A220,Lotes!$A$4:$A$8,Lotes!$B$4:$B$8,0)</x:f>
        <x:v>0</x:v>
      </x:c>
      <x:c r="G220" s="13" t="n">
        <x:f>XLOOKUP(A220,Lotes!$A$4:$A$8,Lotes!$C$4:$C$8,0)</x:f>
        <x:v>7.75</x:v>
      </x:c>
      <x:c r="H220" s="13" t="n">
        <x:f>G220*Premissas!$B$5/Premissas!$B$4</x:f>
        <x:v>211.36363636363635</x:v>
      </x:c>
      <x:c r="I220" s="13" t="n">
        <x:f>D220*Premissas!$B$5/Premissas!$B$4</x:f>
        <x:v>245.45454545454544</x:v>
      </x:c>
      <x:c r="J220" s="13" t="n">
        <x:f>MAX(0,I220-H220)</x:f>
        <x:v>34.09090909090909</x:v>
      </x:c>
      <x:c r="K220" s="13" t="n">
        <x:f>SUMIFS('Cenários de GMD'!$C$4:$C$19,'Cenários de GMD'!$A$4:$A$19,B220,'Cenários de GMD'!$B$4:$B$19,C220)</x:f>
        <x:v>1</x:v>
      </x:c>
      <x:c r="L220" s="13" t="n">
        <x:f>IF(J220=0,0,J220/K220)</x:f>
        <x:v>34.09090909090909</x:v>
      </x:c>
      <x:c r="M220" s="13" t="n">
        <x:f>((H220+I220)/2)*SUMIFS('Cenários de GMD'!$D$4:$D$19,'Cenários de GMD'!$A$4:$A$19,B220,'Cenários de GMD'!$B$4:$B$19,C220)</x:f>
        <x:v>0.2284090909090909</x:v>
      </x:c>
      <x:c r="N220" s="13" t="n">
        <x:f>((H220+I220)/2)*SUMIFS('Cenários de GMD'!$E$4:$E$19,'Cenários de GMD'!$A$4:$A$19,B220,'Cenários de GMD'!$B$4:$B$19,C220)</x:f>
        <x:v>1.5988636363636362</x:v>
      </x:c>
      <x:c r="O220" s="11" t="n">
        <x:f>M220*Insumos!$E$4+N220*Insumos!$E$5</x:f>
        <x:v>3.864529545454545</x:v>
      </x:c>
      <x:c r="P220" s="11" t="n">
        <x:f>O220*Premissas!$B$7</x:f>
        <x:v>115.93588636363636</x:v>
      </x:c>
      <x:c r="Q220" s="11" t="n">
        <x:f>O220*L220</x:f>
        <x:v>131.74532541322313</x:v>
      </x:c>
      <x:c r="R220" s="11" t="n">
        <x:f>Premissas!$B$7*Premissas!$B$8*L220</x:f>
        <x:v>0</x:v>
      </x:c>
      <x:c r="S220" s="11" t="n">
        <x:f>D220*E220</x:f>
        <x:v>2970</x:v>
      </x:c>
      <x:c r="T220" s="11" t="n">
        <x:f>S220*F220</x:f>
        <x:v>0</x:v>
      </x:c>
      <x:c r="U220" s="11" t="n">
        <x:f>S220-XLOOKUP(A220,Lotes!$A$4:$A$8,Lotes!$D$4:$D$8,Premissas!$B$9)-Q220-R220</x:f>
        <x:v>888.2546745867769</x:v>
      </x:c>
      <x:c r="V220" s="11" t="n">
        <x:f>U220*F220</x:f>
        <x:v>0</x:v>
      </x:c>
      <x:c r="W220" s="10" t="n">
        <x:f>IF(S220=0,0,U220/S220)</x:f>
        <x:v>0.2990756480090158</x:v>
      </x:c>
      <x:c r="X220" s="11" t="n">
        <x:f>IF(D220-G220&lt;=0,0,Q220/(D220-G220))</x:f>
        <x:v>105.3962603305785</x:v>
      </x:c>
      <x:c r="Y220" s="10" t="n">
        <x:f>IFERROR(U220/(XLOOKUP(A220,Lotes!$A$4:$A$8,Lotes!$D$4:$D$8,Premissas!$B$9)+Q220+R220),0)</x:f>
        <x:v>0.42668748369133946</x:v>
      </x:c>
      <x:c r="Z220" s="10" t="n">
        <x:f>IF(L220=0,Y220,Y220/MAX(1,L220/Premissas!$B$7))</x:f>
        <x:v>0.3754849856483787</x:v>
      </x:c>
      <x:c r="AA220" s="9" t="str">
        <x:f>IF(L220=0,"Venda imediata",IF(L220&lt;=60,"Baixo",IF(L220&lt;=120,"Médio","Alto")))</x:f>
        <x:v>Baixo</x:v>
      </x:c>
      <x:c r="AB220" s="9" t="str">
        <x:f>IF(U220&lt;0,"Não fazer",IF(AA220="Alto","Risco seca",IF(Z220&gt;=0.03,"Bom giro","Margem ok")))</x:f>
        <x:v>Bom giro</x:v>
      </x:c>
    </x:row>
    <x:row r="221">
      <x:c r="A221" s="9" t="str">
        <x:v>Grupo médio 7,75@</x:v>
      </x:c>
      <x:c r="B221" s="9" t="str">
        <x:v>Agressiva</x:v>
      </x:c>
      <x:c r="C221" s="9" t="str">
        <x:v>Bom</x:v>
      </x:c>
      <x:c r="D221" s="9" t="n">
        <x:v>10.5</x:v>
      </x:c>
      <x:c r="E221" s="11" t="n">
        <x:f>Premissas!$B$6</x:f>
        <x:v>330</x:v>
      </x:c>
      <x:c r="F221" s="9" t="n">
        <x:f>XLOOKUP(A221,Lotes!$A$4:$A$8,Lotes!$B$4:$B$8,0)</x:f>
        <x:v>0</x:v>
      </x:c>
      <x:c r="G221" s="13" t="n">
        <x:f>XLOOKUP(A221,Lotes!$A$4:$A$8,Lotes!$C$4:$C$8,0)</x:f>
        <x:v>7.75</x:v>
      </x:c>
      <x:c r="H221" s="13" t="n">
        <x:f>G221*Premissas!$B$5/Premissas!$B$4</x:f>
        <x:v>211.36363636363635</x:v>
      </x:c>
      <x:c r="I221" s="13" t="n">
        <x:f>D221*Premissas!$B$5/Premissas!$B$4</x:f>
        <x:v>286.3636363636363</x:v>
      </x:c>
      <x:c r="J221" s="13" t="n">
        <x:f>MAX(0,I221-H221)</x:f>
        <x:v>74.99999999999997</x:v>
      </x:c>
      <x:c r="K221" s="13" t="n">
        <x:f>SUMIFS('Cenários de GMD'!$C$4:$C$19,'Cenários de GMD'!$A$4:$A$19,B221,'Cenários de GMD'!$B$4:$B$19,C221)</x:f>
        <x:v>1</x:v>
      </x:c>
      <x:c r="L221" s="13" t="n">
        <x:f>IF(J221=0,0,J221/K221)</x:f>
        <x:v>74.99999999999997</x:v>
      </x:c>
      <x:c r="M221" s="13" t="n">
        <x:f>((H221+I221)/2)*SUMIFS('Cenários de GMD'!$D$4:$D$19,'Cenários de GMD'!$A$4:$A$19,B221,'Cenários de GMD'!$B$4:$B$19,C221)</x:f>
        <x:v>0.24886363636363631</x:v>
      </x:c>
      <x:c r="N221" s="13" t="n">
        <x:f>((H221+I221)/2)*SUMIFS('Cenários de GMD'!$E$4:$E$19,'Cenários de GMD'!$A$4:$A$19,B221,'Cenários de GMD'!$B$4:$B$19,C221)</x:f>
        <x:v>1.7420454545454542</x:v>
      </x:c>
      <x:c r="O221" s="11" t="n">
        <x:f>M221*Insumos!$E$4+N221*Insumos!$E$5</x:f>
        <x:v>4.210606818181818</x:v>
      </x:c>
      <x:c r="P221" s="11" t="n">
        <x:f>O221*Premissas!$B$7</x:f>
        <x:v>126.31820454545453</x:v>
      </x:c>
      <x:c r="Q221" s="11" t="n">
        <x:f>O221*L221</x:f>
        <x:v>315.7955113636362</x:v>
      </x:c>
      <x:c r="R221" s="11" t="n">
        <x:f>Premissas!$B$7*Premissas!$B$8*L221</x:f>
        <x:v>0</x:v>
      </x:c>
      <x:c r="S221" s="11" t="n">
        <x:f>D221*E221</x:f>
        <x:v>3465</x:v>
      </x:c>
      <x:c r="T221" s="11" t="n">
        <x:f>S221*F221</x:f>
        <x:v>0</x:v>
      </x:c>
      <x:c r="U221" s="11" t="n">
        <x:f>S221-XLOOKUP(A221,Lotes!$A$4:$A$8,Lotes!$D$4:$D$8,Premissas!$B$9)-Q221-R221</x:f>
        <x:v>1199.2044886363637</x:v>
      </x:c>
      <x:c r="V221" s="11" t="n">
        <x:f>U221*F221</x:f>
        <x:v>0</x:v>
      </x:c>
      <x:c r="W221" s="10" t="n">
        <x:f>IF(S221=0,0,U221/S221)</x:f>
        <x:v>0.3460907615112161</x:v>
      </x:c>
      <x:c r="X221" s="11" t="n">
        <x:f>IF(D221-G221&lt;=0,0,Q221/(D221-G221))</x:f>
        <x:v>114.83473140495862</x:v>
      </x:c>
      <x:c r="Y221" s="10" t="n">
        <x:f>IFERROR(U221/(XLOOKUP(A221,Lotes!$A$4:$A$8,Lotes!$D$4:$D$8,Premissas!$B$9)+Q221+R221),0)</x:f>
        <x:v>0.5292642176321728</x:v>
      </x:c>
      <x:c r="Z221" s="10" t="n">
        <x:f>IF(L221=0,Y221,Y221/MAX(1,L221/Premissas!$B$7))</x:f>
        <x:v>0.21170568705286918</x:v>
      </x:c>
      <x:c r="AA221" s="9" t="str">
        <x:f>IF(L221=0,"Venda imediata",IF(L221&lt;=60,"Baixo",IF(L221&lt;=120,"Médio","Alto")))</x:f>
        <x:v>Médio</x:v>
      </x:c>
      <x:c r="AB221" s="9" t="str">
        <x:f>IF(U221&lt;0,"Não fazer",IF(AA221="Alto","Risco seca",IF(Z221&gt;=0.03,"Bom giro","Margem ok")))</x:f>
        <x:v>Bom giro</x:v>
      </x:c>
    </x:row>
    <x:row r="222">
      <x:c r="A222" s="9" t="str">
        <x:v>Grupo médio 7,75@</x:v>
      </x:c>
      <x:c r="B222" s="9" t="str">
        <x:v>Agressiva</x:v>
      </x:c>
      <x:c r="C222" s="9" t="str">
        <x:v>Bom</x:v>
      </x:c>
      <x:c r="D222" s="9" t="n">
        <x:v>11</x:v>
      </x:c>
      <x:c r="E222" s="11" t="n">
        <x:f>Premissas!$B$6</x:f>
        <x:v>330</x:v>
      </x:c>
      <x:c r="F222" s="9" t="n">
        <x:f>XLOOKUP(A222,Lotes!$A$4:$A$8,Lotes!$B$4:$B$8,0)</x:f>
        <x:v>0</x:v>
      </x:c>
      <x:c r="G222" s="13" t="n">
        <x:f>XLOOKUP(A222,Lotes!$A$4:$A$8,Lotes!$C$4:$C$8,0)</x:f>
        <x:v>7.75</x:v>
      </x:c>
      <x:c r="H222" s="13" t="n">
        <x:f>G222*Premissas!$B$5/Premissas!$B$4</x:f>
        <x:v>211.36363636363635</x:v>
      </x:c>
      <x:c r="I222" s="13" t="n">
        <x:f>D222*Premissas!$B$5/Premissas!$B$4</x:f>
        <x:v>300</x:v>
      </x:c>
      <x:c r="J222" s="13" t="n">
        <x:f>MAX(0,I222-H222)</x:f>
        <x:v>88.63636363636365</x:v>
      </x:c>
      <x:c r="K222" s="13" t="n">
        <x:f>SUMIFS('Cenários de GMD'!$C$4:$C$19,'Cenários de GMD'!$A$4:$A$19,B222,'Cenários de GMD'!$B$4:$B$19,C222)</x:f>
        <x:v>1</x:v>
      </x:c>
      <x:c r="L222" s="13" t="n">
        <x:f>IF(J222=0,0,J222/K222)</x:f>
        <x:v>88.63636363636365</x:v>
      </x:c>
      <x:c r="M222" s="13" t="n">
        <x:f>((H222+I222)/2)*SUMIFS('Cenários de GMD'!$D$4:$D$19,'Cenários de GMD'!$A$4:$A$19,B222,'Cenários de GMD'!$B$4:$B$19,C222)</x:f>
        <x:v>0.2556818181818182</x:v>
      </x:c>
      <x:c r="N222" s="13" t="n">
        <x:f>((H222+I222)/2)*SUMIFS('Cenários de GMD'!$E$4:$E$19,'Cenários de GMD'!$A$4:$A$19,B222,'Cenários de GMD'!$B$4:$B$19,C222)</x:f>
        <x:v>1.7897727272727273</x:v>
      </x:c>
      <x:c r="O222" s="11" t="n">
        <x:f>M222*Insumos!$E$4+N222*Insumos!$E$5</x:f>
        <x:v>4.325965909090909</x:v>
      </x:c>
      <x:c r="P222" s="11" t="n">
        <x:f>O222*Premissas!$B$7</x:f>
        <x:v>129.77897727272727</x:v>
      </x:c>
      <x:c r="Q222" s="11" t="n">
        <x:f>O222*L222</x:f>
        <x:v>383.4378873966943</x:v>
      </x:c>
      <x:c r="R222" s="11" t="n">
        <x:f>Premissas!$B$7*Premissas!$B$8*L222</x:f>
        <x:v>0</x:v>
      </x:c>
      <x:c r="S222" s="11" t="n">
        <x:f>D222*E222</x:f>
        <x:v>3630</x:v>
      </x:c>
      <x:c r="T222" s="11" t="n">
        <x:f>S222*F222</x:f>
        <x:v>0</x:v>
      </x:c>
      <x:c r="U222" s="11" t="n">
        <x:f>S222-XLOOKUP(A222,Lotes!$A$4:$A$8,Lotes!$D$4:$D$8,Premissas!$B$9)-Q222-R222</x:f>
        <x:v>1296.5621126033056</x:v>
      </x:c>
      <x:c r="V222" s="11" t="n">
        <x:f>U222*F222</x:f>
        <x:v>0</x:v>
      </x:c>
      <x:c r="W222" s="10" t="n">
        <x:f>IF(S222=0,0,U222/S222)</x:f>
        <x:v>0.35717964534526325</x:v>
      </x:c>
      <x:c r="X222" s="11" t="n">
        <x:f>IF(D222-G222&lt;=0,0,Q222/(D222-G222))</x:f>
        <x:v>117.98088842975208</x:v>
      </x:c>
      <x:c r="Y222" s="10" t="n">
        <x:f>IFERROR(U222/(XLOOKUP(A222,Lotes!$A$4:$A$8,Lotes!$D$4:$D$8,Premissas!$B$9)+Q222+R222),0)</x:f>
        <x:v>0.5556445790163365</x:v>
      </x:c>
      <x:c r="Z222" s="10" t="n">
        <x:f>IF(L222=0,Y222,Y222/MAX(1,L222/Premissas!$B$7))</x:f>
        <x:v>0.18806431905168308</x:v>
      </x:c>
      <x:c r="AA222" s="9" t="str">
        <x:f>IF(L222=0,"Venda imediata",IF(L222&lt;=60,"Baixo",IF(L222&lt;=120,"Médio","Alto")))</x:f>
        <x:v>Médio</x:v>
      </x:c>
      <x:c r="AB222" s="9" t="str">
        <x:f>IF(U222&lt;0,"Não fazer",IF(AA222="Alto","Risco seca",IF(Z222&gt;=0.03,"Bom giro","Margem ok")))</x:f>
        <x:v>Bom giro</x:v>
      </x:c>
    </x:row>
    <x:row r="223">
      <x:c r="A223" s="9" t="str">
        <x:v>Grupo médio 7,75@</x:v>
      </x:c>
      <x:c r="B223" s="9" t="str">
        <x:v>Agressiva</x:v>
      </x:c>
      <x:c r="C223" s="9" t="str">
        <x:v>Bom</x:v>
      </x:c>
      <x:c r="D223" s="9" t="n">
        <x:v>12</x:v>
      </x:c>
      <x:c r="E223" s="11" t="n">
        <x:f>Premissas!$B$6</x:f>
        <x:v>330</x:v>
      </x:c>
      <x:c r="F223" s="9" t="n">
        <x:f>XLOOKUP(A223,Lotes!$A$4:$A$8,Lotes!$B$4:$B$8,0)</x:f>
        <x:v>0</x:v>
      </x:c>
      <x:c r="G223" s="13" t="n">
        <x:f>XLOOKUP(A223,Lotes!$A$4:$A$8,Lotes!$C$4:$C$8,0)</x:f>
        <x:v>7.75</x:v>
      </x:c>
      <x:c r="H223" s="13" t="n">
        <x:f>G223*Premissas!$B$5/Premissas!$B$4</x:f>
        <x:v>211.36363636363635</x:v>
      </x:c>
      <x:c r="I223" s="13" t="n">
        <x:f>D223*Premissas!$B$5/Premissas!$B$4</x:f>
        <x:v>327.27272727272725</x:v>
      </x:c>
      <x:c r="J223" s="13" t="n">
        <x:f>MAX(0,I223-H223)</x:f>
        <x:v>115.9090909090909</x:v>
      </x:c>
      <x:c r="K223" s="13" t="n">
        <x:f>SUMIFS('Cenários de GMD'!$C$4:$C$19,'Cenários de GMD'!$A$4:$A$19,B223,'Cenários de GMD'!$B$4:$B$19,C223)</x:f>
        <x:v>1</x:v>
      </x:c>
      <x:c r="L223" s="13" t="n">
        <x:f>IF(J223=0,0,J223/K223)</x:f>
        <x:v>115.9090909090909</x:v>
      </x:c>
      <x:c r="M223" s="13" t="n">
        <x:f>((H223+I223)/2)*SUMIFS('Cenários de GMD'!$D$4:$D$19,'Cenários de GMD'!$A$4:$A$19,B223,'Cenários de GMD'!$B$4:$B$19,C223)</x:f>
        <x:v>0.26931818181818185</x:v>
      </x:c>
      <x:c r="N223" s="13" t="n">
        <x:f>((H223+I223)/2)*SUMIFS('Cenários de GMD'!$E$4:$E$19,'Cenários de GMD'!$A$4:$A$19,B223,'Cenários de GMD'!$B$4:$B$19,C223)</x:f>
        <x:v>1.8852272727272728</x:v>
      </x:c>
      <x:c r="O223" s="11" t="n">
        <x:f>M223*Insumos!$E$4+N223*Insumos!$E$5</x:f>
        <x:v>4.5566840909090915</x:v>
      </x:c>
      <x:c r="P223" s="11" t="n">
        <x:f>O223*Premissas!$B$7</x:f>
        <x:v>136.70052272727276</x:v>
      </x:c>
      <x:c r="Q223" s="11" t="n">
        <x:f>O223*L223</x:f>
        <x:v>528.1611105371901</x:v>
      </x:c>
      <x:c r="R223" s="11" t="n">
        <x:f>Premissas!$B$7*Premissas!$B$8*L223</x:f>
        <x:v>0</x:v>
      </x:c>
      <x:c r="S223" s="11" t="n">
        <x:f>D223*E223</x:f>
        <x:v>3960</x:v>
      </x:c>
      <x:c r="T223" s="11" t="n">
        <x:f>S223*F223</x:f>
        <x:v>0</x:v>
      </x:c>
      <x:c r="U223" s="11" t="n">
        <x:f>S223-XLOOKUP(A223,Lotes!$A$4:$A$8,Lotes!$D$4:$D$8,Premissas!$B$9)-Q223-R223</x:f>
        <x:v>1481.83888946281</x:v>
      </x:c>
      <x:c r="V223" s="11" t="n">
        <x:f>U223*F223</x:f>
        <x:v>0</x:v>
      </x:c>
      <x:c r="W223" s="10" t="n">
        <x:f>IF(S223=0,0,U223/S223)</x:f>
        <x:v>0.3742017397633358</x:v>
      </x:c>
      <x:c r="X223" s="11" t="n">
        <x:f>IF(D223-G223&lt;=0,0,Q223/(D223-G223))</x:f>
        <x:v>124.27320247933885</x:v>
      </x:c>
      <x:c r="Y223" s="10" t="n">
        <x:f>IFERROR(U223/(XLOOKUP(A223,Lotes!$A$4:$A$8,Lotes!$D$4:$D$8,Premissas!$B$9)+Q223+R223),0)</x:f>
        <x:v>0.5979590605154772</x:v>
      </x:c>
      <x:c r="Z223" s="10" t="n">
        <x:f>IF(L223=0,Y223,Y223/MAX(1,L223/Premissas!$B$7))</x:f>
        <x:v>0.1547658744863588</x:v>
      </x:c>
      <x:c r="AA223" s="9" t="str">
        <x:f>IF(L223=0,"Venda imediata",IF(L223&lt;=60,"Baixo",IF(L223&lt;=120,"Médio","Alto")))</x:f>
        <x:v>Médio</x:v>
      </x:c>
      <x:c r="AB223" s="9" t="str">
        <x:f>IF(U223&lt;0,"Não fazer",IF(AA223="Alto","Risco seca",IF(Z223&gt;=0.03,"Bom giro","Margem ok")))</x:f>
        <x:v>Bom giro</x:v>
      </x:c>
    </x:row>
    <x:row r="224">
      <x:c r="A224" s="9" t="str">
        <x:v>Grupo médio 7,75@</x:v>
      </x:c>
      <x:c r="B224" s="9" t="str">
        <x:v>Agressiva</x:v>
      </x:c>
      <x:c r="C224" s="9" t="str">
        <x:v>Ótimo</x:v>
      </x:c>
      <x:c r="D224" s="9" t="n">
        <x:v>8.5</x:v>
      </x:c>
      <x:c r="E224" s="11" t="n">
        <x:f>Premissas!$B$6</x:f>
        <x:v>330</x:v>
      </x:c>
      <x:c r="F224" s="9" t="n">
        <x:f>XLOOKUP(A224,Lotes!$A$4:$A$8,Lotes!$B$4:$B$8,0)</x:f>
        <x:v>0</x:v>
      </x:c>
      <x:c r="G224" s="13" t="n">
        <x:f>XLOOKUP(A224,Lotes!$A$4:$A$8,Lotes!$C$4:$C$8,0)</x:f>
        <x:v>7.75</x:v>
      </x:c>
      <x:c r="H224" s="13" t="n">
        <x:f>G224*Premissas!$B$5/Premissas!$B$4</x:f>
        <x:v>211.36363636363635</x:v>
      </x:c>
      <x:c r="I224" s="13" t="n">
        <x:f>D224*Premissas!$B$5/Premissas!$B$4</x:f>
        <x:v>231.8181818181818</x:v>
      </x:c>
      <x:c r="J224" s="13" t="n">
        <x:f>MAX(0,I224-H224)</x:f>
        <x:v>20.454545454545467</x:v>
      </x:c>
      <x:c r="K224" s="13" t="n">
        <x:f>SUMIFS('Cenários de GMD'!$C$4:$C$19,'Cenários de GMD'!$A$4:$A$19,B224,'Cenários de GMD'!$B$4:$B$19,C224)</x:f>
        <x:v>1.1</x:v>
      </x:c>
      <x:c r="L224" s="13" t="n">
        <x:f>IF(J224=0,0,J224/K224)</x:f>
        <x:v>18.59504132231406</x:v>
      </x:c>
      <x:c r="M224" s="13" t="n">
        <x:f>((H224+I224)/2)*SUMIFS('Cenários de GMD'!$D$4:$D$19,'Cenários de GMD'!$A$4:$A$19,B224,'Cenários de GMD'!$B$4:$B$19,C224)</x:f>
        <x:v>0.22159090909090906</x:v>
      </x:c>
      <x:c r="N224" s="13" t="n">
        <x:f>((H224+I224)/2)*SUMIFS('Cenários de GMD'!$E$4:$E$19,'Cenários de GMD'!$A$4:$A$19,B224,'Cenários de GMD'!$B$4:$B$19,C224)</x:f>
        <x:v>1.5511363636363635</x:v>
      </x:c>
      <x:c r="O224" s="11" t="n">
        <x:f>M224*Insumos!$E$4+N224*Insumos!$E$5</x:f>
        <x:v>3.749170454545454</x:v>
      </x:c>
      <x:c r="P224" s="11" t="n">
        <x:f>O224*Premissas!$B$7</x:f>
        <x:v>112.47511363636362</x:v>
      </x:c>
      <x:c r="Q224" s="11" t="n">
        <x:f>O224*L224</x:f>
        <x:v>69.7159795266717</x:v>
      </x:c>
      <x:c r="R224" s="11" t="n">
        <x:f>Premissas!$B$7*Premissas!$B$8*L224</x:f>
        <x:v>0</x:v>
      </x:c>
      <x:c r="S224" s="11" t="n">
        <x:f>D224*E224</x:f>
        <x:v>2805</x:v>
      </x:c>
      <x:c r="T224" s="11" t="n">
        <x:f>S224*F224</x:f>
        <x:v>0</x:v>
      </x:c>
      <x:c r="U224" s="11" t="n">
        <x:f>S224-XLOOKUP(A224,Lotes!$A$4:$A$8,Lotes!$D$4:$D$8,Premissas!$B$9)-Q224-R224</x:f>
        <x:v>785.2840204733283</x:v>
      </x:c>
      <x:c r="V224" s="11" t="n">
        <x:f>U224*F224</x:f>
        <x:v>0</x:v>
      </x:c>
      <x:c r="W224" s="10" t="n">
        <x:f>IF(S224=0,0,U224/S224)</x:f>
        <x:v>0.2799586525751616</x:v>
      </x:c>
      <x:c r="X224" s="11" t="n">
        <x:f>IF(D224-G224&lt;=0,0,Q224/(D224-G224))</x:f>
        <x:v>92.9546393688956</x:v>
      </x:c>
      <x:c r="Y224" s="10" t="n">
        <x:f>IFERROR(U224/(XLOOKUP(A224,Lotes!$A$4:$A$8,Lotes!$D$4:$D$8,Premissas!$B$9)+Q224+R224),0)</x:f>
        <x:v>0.3888091337760088</x:v>
      </x:c>
      <x:c r="Z224" s="10" t="n">
        <x:f>IF(L224=0,Y224,Y224/MAX(1,L224/Premissas!$B$7))</x:f>
        <x:v>0.3888091337760088</x:v>
      </x:c>
      <x:c r="AA224" s="9" t="str">
        <x:f>IF(L224=0,"Venda imediata",IF(L224&lt;=60,"Baixo",IF(L224&lt;=120,"Médio","Alto")))</x:f>
        <x:v>Baixo</x:v>
      </x:c>
      <x:c r="AB224" s="9" t="str">
        <x:f>IF(U224&lt;0,"Não fazer",IF(AA224="Alto","Risco seca",IF(Z224&gt;=0.03,"Bom giro","Margem ok")))</x:f>
        <x:v>Bom giro</x:v>
      </x:c>
    </x:row>
    <x:row r="225">
      <x:c r="A225" s="9" t="str">
        <x:v>Grupo médio 7,75@</x:v>
      </x:c>
      <x:c r="B225" s="9" t="str">
        <x:v>Agressiva</x:v>
      </x:c>
      <x:c r="C225" s="9" t="str">
        <x:v>Ótimo</x:v>
      </x:c>
      <x:c r="D225" s="9" t="n">
        <x:v>9</x:v>
      </x:c>
      <x:c r="E225" s="11" t="n">
        <x:f>Premissas!$B$6</x:f>
        <x:v>330</x:v>
      </x:c>
      <x:c r="F225" s="9" t="n">
        <x:f>XLOOKUP(A225,Lotes!$A$4:$A$8,Lotes!$B$4:$B$8,0)</x:f>
        <x:v>0</x:v>
      </x:c>
      <x:c r="G225" s="13" t="n">
        <x:f>XLOOKUP(A225,Lotes!$A$4:$A$8,Lotes!$C$4:$C$8,0)</x:f>
        <x:v>7.75</x:v>
      </x:c>
      <x:c r="H225" s="13" t="n">
        <x:f>G225*Premissas!$B$5/Premissas!$B$4</x:f>
        <x:v>211.36363636363635</x:v>
      </x:c>
      <x:c r="I225" s="13" t="n">
        <x:f>D225*Premissas!$B$5/Premissas!$B$4</x:f>
        <x:v>245.45454545454544</x:v>
      </x:c>
      <x:c r="J225" s="13" t="n">
        <x:f>MAX(0,I225-H225)</x:f>
        <x:v>34.09090909090909</x:v>
      </x:c>
      <x:c r="K225" s="13" t="n">
        <x:f>SUMIFS('Cenários de GMD'!$C$4:$C$19,'Cenários de GMD'!$A$4:$A$19,B225,'Cenários de GMD'!$B$4:$B$19,C225)</x:f>
        <x:v>1.1</x:v>
      </x:c>
      <x:c r="L225" s="13" t="n">
        <x:f>IF(J225=0,0,J225/K225)</x:f>
        <x:v>30.99173553719008</x:v>
      </x:c>
      <x:c r="M225" s="13" t="n">
        <x:f>((H225+I225)/2)*SUMIFS('Cenários de GMD'!$D$4:$D$19,'Cenários de GMD'!$A$4:$A$19,B225,'Cenários de GMD'!$B$4:$B$19,C225)</x:f>
        <x:v>0.2284090909090909</x:v>
      </x:c>
      <x:c r="N225" s="13" t="n">
        <x:f>((H225+I225)/2)*SUMIFS('Cenários de GMD'!$E$4:$E$19,'Cenários de GMD'!$A$4:$A$19,B225,'Cenários de GMD'!$B$4:$B$19,C225)</x:f>
        <x:v>1.5988636363636362</x:v>
      </x:c>
      <x:c r="O225" s="11" t="n">
        <x:f>M225*Insumos!$E$4+N225*Insumos!$E$5</x:f>
        <x:v>3.864529545454545</x:v>
      </x:c>
      <x:c r="P225" s="11" t="n">
        <x:f>O225*Premissas!$B$7</x:f>
        <x:v>115.93588636363636</x:v>
      </x:c>
      <x:c r="Q225" s="11" t="n">
        <x:f>O225*L225</x:f>
        <x:v>119.76847764838466</x:v>
      </x:c>
      <x:c r="R225" s="11" t="n">
        <x:f>Premissas!$B$7*Premissas!$B$8*L225</x:f>
        <x:v>0</x:v>
      </x:c>
      <x:c r="S225" s="11" t="n">
        <x:f>D225*E225</x:f>
        <x:v>2970</x:v>
      </x:c>
      <x:c r="T225" s="11" t="n">
        <x:f>S225*F225</x:f>
        <x:v>0</x:v>
      </x:c>
      <x:c r="U225" s="11" t="n">
        <x:f>S225-XLOOKUP(A225,Lotes!$A$4:$A$8,Lotes!$D$4:$D$8,Premissas!$B$9)-Q225-R225</x:f>
        <x:v>900.2315223516154</x:v>
      </x:c>
      <x:c r="V225" s="11" t="n">
        <x:f>U225*F225</x:f>
        <x:v>0</x:v>
      </x:c>
      <x:c r="W225" s="10" t="n">
        <x:f>IF(S225=0,0,U225/S225)</x:f>
        <x:v>0.30310825668404556</x:v>
      </x:c>
      <x:c r="X225" s="11" t="n">
        <x:f>IF(D225-G225&lt;=0,0,Q225/(D225-G225))</x:f>
        <x:v>95.81478211870773</x:v>
      </x:c>
      <x:c r="Y225" s="10" t="n">
        <x:f>IFERROR(U225/(XLOOKUP(A225,Lotes!$A$4:$A$8,Lotes!$D$4:$D$8,Premissas!$B$9)+Q225+R225),0)</x:f>
        <x:v>0.4349431021262988</x:v>
      </x:c>
      <x:c r="Z225" s="10" t="n">
        <x:f>IF(L225=0,Y225,Y225/MAX(1,L225/Premissas!$B$7))</x:f>
        <x:v>0.42102492285825727</x:v>
      </x:c>
      <x:c r="AA225" s="9" t="str">
        <x:f>IF(L225=0,"Venda imediata",IF(L225&lt;=60,"Baixo",IF(L225&lt;=120,"Médio","Alto")))</x:f>
        <x:v>Baixo</x:v>
      </x:c>
      <x:c r="AB225" s="9" t="str">
        <x:f>IF(U225&lt;0,"Não fazer",IF(AA225="Alto","Risco seca",IF(Z225&gt;=0.03,"Bom giro","Margem ok")))</x:f>
        <x:v>Bom giro</x:v>
      </x:c>
    </x:row>
    <x:row r="226">
      <x:c r="A226" s="9" t="str">
        <x:v>Grupo médio 7,75@</x:v>
      </x:c>
      <x:c r="B226" s="9" t="str">
        <x:v>Agressiva</x:v>
      </x:c>
      <x:c r="C226" s="9" t="str">
        <x:v>Ótimo</x:v>
      </x:c>
      <x:c r="D226" s="9" t="n">
        <x:v>10.5</x:v>
      </x:c>
      <x:c r="E226" s="11" t="n">
        <x:f>Premissas!$B$6</x:f>
        <x:v>330</x:v>
      </x:c>
      <x:c r="F226" s="9" t="n">
        <x:f>XLOOKUP(A226,Lotes!$A$4:$A$8,Lotes!$B$4:$B$8,0)</x:f>
        <x:v>0</x:v>
      </x:c>
      <x:c r="G226" s="13" t="n">
        <x:f>XLOOKUP(A226,Lotes!$A$4:$A$8,Lotes!$C$4:$C$8,0)</x:f>
        <x:v>7.75</x:v>
      </x:c>
      <x:c r="H226" s="13" t="n">
        <x:f>G226*Premissas!$B$5/Premissas!$B$4</x:f>
        <x:v>211.36363636363635</x:v>
      </x:c>
      <x:c r="I226" s="13" t="n">
        <x:f>D226*Premissas!$B$5/Premissas!$B$4</x:f>
        <x:v>286.3636363636363</x:v>
      </x:c>
      <x:c r="J226" s="13" t="n">
        <x:f>MAX(0,I226-H226)</x:f>
        <x:v>74.99999999999997</x:v>
      </x:c>
      <x:c r="K226" s="13" t="n">
        <x:f>SUMIFS('Cenários de GMD'!$C$4:$C$19,'Cenários de GMD'!$A$4:$A$19,B226,'Cenários de GMD'!$B$4:$B$19,C226)</x:f>
        <x:v>1.1</x:v>
      </x:c>
      <x:c r="L226" s="13" t="n">
        <x:f>IF(J226=0,0,J226/K226)</x:f>
        <x:v>68.18181818181814</x:v>
      </x:c>
      <x:c r="M226" s="13" t="n">
        <x:f>((H226+I226)/2)*SUMIFS('Cenários de GMD'!$D$4:$D$19,'Cenários de GMD'!$A$4:$A$19,B226,'Cenários de GMD'!$B$4:$B$19,C226)</x:f>
        <x:v>0.24886363636363631</x:v>
      </x:c>
      <x:c r="N226" s="13" t="n">
        <x:f>((H226+I226)/2)*SUMIFS('Cenários de GMD'!$E$4:$E$19,'Cenários de GMD'!$A$4:$A$19,B226,'Cenários de GMD'!$B$4:$B$19,C226)</x:f>
        <x:v>1.7420454545454542</x:v>
      </x:c>
      <x:c r="O226" s="11" t="n">
        <x:f>M226*Insumos!$E$4+N226*Insumos!$E$5</x:f>
        <x:v>4.210606818181818</x:v>
      </x:c>
      <x:c r="P226" s="11" t="n">
        <x:f>O226*Premissas!$B$7</x:f>
        <x:v>126.31820454545453</x:v>
      </x:c>
      <x:c r="Q226" s="11" t="n">
        <x:f>O226*L226</x:f>
        <x:v>287.0868285123965</x:v>
      </x:c>
      <x:c r="R226" s="11" t="n">
        <x:f>Premissas!$B$7*Premissas!$B$8*L226</x:f>
        <x:v>0</x:v>
      </x:c>
      <x:c r="S226" s="11" t="n">
        <x:f>D226*E226</x:f>
        <x:v>3465</x:v>
      </x:c>
      <x:c r="T226" s="11" t="n">
        <x:f>S226*F226</x:f>
        <x:v>0</x:v>
      </x:c>
      <x:c r="U226" s="11" t="n">
        <x:f>S226-XLOOKUP(A226,Lotes!$A$4:$A$8,Lotes!$D$4:$D$8,Premissas!$B$9)-Q226-R226</x:f>
        <x:v>1227.9131714876034</x:v>
      </x:c>
      <x:c r="V226" s="11" t="n">
        <x:f>U226*F226</x:f>
        <x:v>0</x:v>
      </x:c>
      <x:c r="W226" s="10" t="n">
        <x:f>IF(S226=0,0,U226/S226)</x:f>
        <x:v>0.354376095667418</x:v>
      </x:c>
      <x:c r="X226" s="11" t="n">
        <x:f>IF(D226-G226&lt;=0,0,Q226/(D226-G226))</x:f>
        <x:v>104.39521036814418</x:v>
      </x:c>
      <x:c r="Y226" s="10" t="n">
        <x:f>IFERROR(U226/(XLOOKUP(A226,Lotes!$A$4:$A$8,Lotes!$D$4:$D$8,Premissas!$B$9)+Q226+R226),0)</x:f>
        <x:v>0.548889366222827</x:v>
      </x:c>
      <x:c r="Z226" s="10" t="n">
        <x:f>IF(L226=0,Y226,Y226/MAX(1,L226/Premissas!$B$7))</x:f>
        <x:v>0.24151132113804402</x:v>
      </x:c>
      <x:c r="AA226" s="9" t="str">
        <x:f>IF(L226=0,"Venda imediata",IF(L226&lt;=60,"Baixo",IF(L226&lt;=120,"Médio","Alto")))</x:f>
        <x:v>Médio</x:v>
      </x:c>
      <x:c r="AB226" s="9" t="str">
        <x:f>IF(U226&lt;0,"Não fazer",IF(AA226="Alto","Risco seca",IF(Z226&gt;=0.03,"Bom giro","Margem ok")))</x:f>
        <x:v>Bom giro</x:v>
      </x:c>
    </x:row>
    <x:row r="227">
      <x:c r="A227" s="9" t="str">
        <x:v>Grupo médio 7,75@</x:v>
      </x:c>
      <x:c r="B227" s="9" t="str">
        <x:v>Agressiva</x:v>
      </x:c>
      <x:c r="C227" s="9" t="str">
        <x:v>Ótimo</x:v>
      </x:c>
      <x:c r="D227" s="9" t="n">
        <x:v>11</x:v>
      </x:c>
      <x:c r="E227" s="11" t="n">
        <x:f>Premissas!$B$6</x:f>
        <x:v>330</x:v>
      </x:c>
      <x:c r="F227" s="9" t="n">
        <x:f>XLOOKUP(A227,Lotes!$A$4:$A$8,Lotes!$B$4:$B$8,0)</x:f>
        <x:v>0</x:v>
      </x:c>
      <x:c r="G227" s="13" t="n">
        <x:f>XLOOKUP(A227,Lotes!$A$4:$A$8,Lotes!$C$4:$C$8,0)</x:f>
        <x:v>7.75</x:v>
      </x:c>
      <x:c r="H227" s="13" t="n">
        <x:f>G227*Premissas!$B$5/Premissas!$B$4</x:f>
        <x:v>211.36363636363635</x:v>
      </x:c>
      <x:c r="I227" s="13" t="n">
        <x:f>D227*Premissas!$B$5/Premissas!$B$4</x:f>
        <x:v>300</x:v>
      </x:c>
      <x:c r="J227" s="13" t="n">
        <x:f>MAX(0,I227-H227)</x:f>
        <x:v>88.63636363636365</x:v>
      </x:c>
      <x:c r="K227" s="13" t="n">
        <x:f>SUMIFS('Cenários de GMD'!$C$4:$C$19,'Cenários de GMD'!$A$4:$A$19,B227,'Cenários de GMD'!$B$4:$B$19,C227)</x:f>
        <x:v>1.1</x:v>
      </x:c>
      <x:c r="L227" s="13" t="n">
        <x:f>IF(J227=0,0,J227/K227)</x:f>
        <x:v>80.57851239669422</x:v>
      </x:c>
      <x:c r="M227" s="13" t="n">
        <x:f>((H227+I227)/2)*SUMIFS('Cenários de GMD'!$D$4:$D$19,'Cenários de GMD'!$A$4:$A$19,B227,'Cenários de GMD'!$B$4:$B$19,C227)</x:f>
        <x:v>0.2556818181818182</x:v>
      </x:c>
      <x:c r="N227" s="13" t="n">
        <x:f>((H227+I227)/2)*SUMIFS('Cenários de GMD'!$E$4:$E$19,'Cenários de GMD'!$A$4:$A$19,B227,'Cenários de GMD'!$B$4:$B$19,C227)</x:f>
        <x:v>1.7897727272727273</x:v>
      </x:c>
      <x:c r="O227" s="11" t="n">
        <x:f>M227*Insumos!$E$4+N227*Insumos!$E$5</x:f>
        <x:v>4.325965909090909</x:v>
      </x:c>
      <x:c r="P227" s="11" t="n">
        <x:f>O227*Premissas!$B$7</x:f>
        <x:v>129.77897727272727</x:v>
      </x:c>
      <x:c r="Q227" s="11" t="n">
        <x:f>O227*L227</x:f>
        <x:v>348.5798976333584</x:v>
      </x:c>
      <x:c r="R227" s="11" t="n">
        <x:f>Premissas!$B$7*Premissas!$B$8*L227</x:f>
        <x:v>0</x:v>
      </x:c>
      <x:c r="S227" s="11" t="n">
        <x:f>D227*E227</x:f>
        <x:v>3630</x:v>
      </x:c>
      <x:c r="T227" s="11" t="n">
        <x:f>S227*F227</x:f>
        <x:v>0</x:v>
      </x:c>
      <x:c r="U227" s="11" t="n">
        <x:f>S227-XLOOKUP(A227,Lotes!$A$4:$A$8,Lotes!$D$4:$D$8,Premissas!$B$9)-Q227-R227</x:f>
        <x:v>1331.4201023666415</x:v>
      </x:c>
      <x:c r="V227" s="11" t="n">
        <x:f>U227*F227</x:f>
        <x:v>0</x:v>
      </x:c>
      <x:c r="W227" s="10" t="n">
        <x:f>IF(S227=0,0,U227/S227)</x:f>
        <x:v>0.36678239734618223</x:v>
      </x:c>
      <x:c r="X227" s="11" t="n">
        <x:f>IF(D227-G227&lt;=0,0,Q227/(D227-G227))</x:f>
        <x:v>107.25535311795645</x:v>
      </x:c>
      <x:c r="Y227" s="10" t="n">
        <x:f>IFERROR(U227/(XLOOKUP(A227,Lotes!$A$4:$A$8,Lotes!$D$4:$D$8,Premissas!$B$9)+Q227+R227),0)</x:f>
        <x:v>0.5792359463934603</x:v>
      </x:c>
      <x:c r="Z227" s="10" t="n">
        <x:f>IF(L227=0,Y227,Y227/MAX(1,L227/Premissas!$B$7))</x:f>
        <x:v>0.21565399850341138</x:v>
      </x:c>
      <x:c r="AA227" s="9" t="str">
        <x:f>IF(L227=0,"Venda imediata",IF(L227&lt;=60,"Baixo",IF(L227&lt;=120,"Médio","Alto")))</x:f>
        <x:v>Médio</x:v>
      </x:c>
      <x:c r="AB227" s="9" t="str">
        <x:f>IF(U227&lt;0,"Não fazer",IF(AA227="Alto","Risco seca",IF(Z227&gt;=0.03,"Bom giro","Margem ok")))</x:f>
        <x:v>Bom giro</x:v>
      </x:c>
    </x:row>
    <x:row r="228">
      <x:c r="A228" s="9" t="str">
        <x:v>Grupo médio 7,75@</x:v>
      </x:c>
      <x:c r="B228" s="9" t="str">
        <x:v>Agressiva</x:v>
      </x:c>
      <x:c r="C228" s="9" t="str">
        <x:v>Ótimo</x:v>
      </x:c>
      <x:c r="D228" s="9" t="n">
        <x:v>12</x:v>
      </x:c>
      <x:c r="E228" s="11" t="n">
        <x:f>Premissas!$B$6</x:f>
        <x:v>330</x:v>
      </x:c>
      <x:c r="F228" s="9" t="n">
        <x:f>XLOOKUP(A228,Lotes!$A$4:$A$8,Lotes!$B$4:$B$8,0)</x:f>
        <x:v>0</x:v>
      </x:c>
      <x:c r="G228" s="13" t="n">
        <x:f>XLOOKUP(A228,Lotes!$A$4:$A$8,Lotes!$C$4:$C$8,0)</x:f>
        <x:v>7.75</x:v>
      </x:c>
      <x:c r="H228" s="13" t="n">
        <x:f>G228*Premissas!$B$5/Premissas!$B$4</x:f>
        <x:v>211.36363636363635</x:v>
      </x:c>
      <x:c r="I228" s="13" t="n">
        <x:f>D228*Premissas!$B$5/Premissas!$B$4</x:f>
        <x:v>327.27272727272725</x:v>
      </x:c>
      <x:c r="J228" s="13" t="n">
        <x:f>MAX(0,I228-H228)</x:f>
        <x:v>115.9090909090909</x:v>
      </x:c>
      <x:c r="K228" s="13" t="n">
        <x:f>SUMIFS('Cenários de GMD'!$C$4:$C$19,'Cenários de GMD'!$A$4:$A$19,B228,'Cenários de GMD'!$B$4:$B$19,C228)</x:f>
        <x:v>1.1</x:v>
      </x:c>
      <x:c r="L228" s="13" t="n">
        <x:f>IF(J228=0,0,J228/K228)</x:f>
        <x:v>105.37190082644626</x:v>
      </x:c>
      <x:c r="M228" s="13" t="n">
        <x:f>((H228+I228)/2)*SUMIFS('Cenários de GMD'!$D$4:$D$19,'Cenários de GMD'!$A$4:$A$19,B228,'Cenários de GMD'!$B$4:$B$19,C228)</x:f>
        <x:v>0.26931818181818185</x:v>
      </x:c>
      <x:c r="N228" s="13" t="n">
        <x:f>((H228+I228)/2)*SUMIFS('Cenários de GMD'!$E$4:$E$19,'Cenários de GMD'!$A$4:$A$19,B228,'Cenários de GMD'!$B$4:$B$19,C228)</x:f>
        <x:v>1.8852272727272728</x:v>
      </x:c>
      <x:c r="O228" s="11" t="n">
        <x:f>M228*Insumos!$E$4+N228*Insumos!$E$5</x:f>
        <x:v>4.5566840909090915</x:v>
      </x:c>
      <x:c r="P228" s="11" t="n">
        <x:f>O228*Premissas!$B$7</x:f>
        <x:v>136.70052272727276</x:v>
      </x:c>
      <x:c r="Q228" s="11" t="n">
        <x:f>O228*L228</x:f>
        <x:v>480.14646412471825</x:v>
      </x:c>
      <x:c r="R228" s="11" t="n">
        <x:f>Premissas!$B$7*Premissas!$B$8*L228</x:f>
        <x:v>0</x:v>
      </x:c>
      <x:c r="S228" s="11" t="n">
        <x:f>D228*E228</x:f>
        <x:v>3960</x:v>
      </x:c>
      <x:c r="T228" s="11" t="n">
        <x:f>S228*F228</x:f>
        <x:v>0</x:v>
      </x:c>
      <x:c r="U228" s="11" t="n">
        <x:f>S228-XLOOKUP(A228,Lotes!$A$4:$A$8,Lotes!$D$4:$D$8,Premissas!$B$9)-Q228-R228</x:f>
        <x:v>1529.8535358752818</x:v>
      </x:c>
      <x:c r="V228" s="11" t="n">
        <x:f>U228*F228</x:f>
        <x:v>0</x:v>
      </x:c>
      <x:c r="W228" s="10" t="n">
        <x:f>IF(S228=0,0,U228/S228)</x:f>
        <x:v>0.386326650473556</x:v>
      </x:c>
      <x:c r="X228" s="11" t="n">
        <x:f>IF(D228-G228&lt;=0,0,Q228/(D228-G228))</x:f>
        <x:v>112.97563861758077</x:v>
      </x:c>
      <x:c r="Y228" s="10" t="n">
        <x:f>IFERROR(U228/(XLOOKUP(A228,Lotes!$A$4:$A$8,Lotes!$D$4:$D$8,Premissas!$B$9)+Q228+R228),0)</x:f>
        <x:v>0.6295314123901166</x:v>
      </x:c>
      <x:c r="Z228" s="10" t="n">
        <x:f>IF(L228=0,Y228,Y228/MAX(1,L228/Premissas!$B$7))</x:f>
        <x:v>0.17923129623342143</x:v>
      </x:c>
      <x:c r="AA228" s="9" t="str">
        <x:f>IF(L228=0,"Venda imediata",IF(L228&lt;=60,"Baixo",IF(L228&lt;=120,"Médio","Alto")))</x:f>
        <x:v>Médio</x:v>
      </x:c>
      <x:c r="AB228" s="9" t="str">
        <x:f>IF(U228&lt;0,"Não fazer",IF(AA228="Alto","Risco seca",IF(Z228&gt;=0.03,"Bom giro","Margem ok")))</x:f>
        <x:v>Bom giro</x:v>
      </x:c>
    </x:row>
    <x:row r="229">
      <x:c r="A229" s="9" t="str">
        <x:v>Bezerras pequenas 4@</x:v>
      </x:c>
      <x:c r="B229" s="9" t="str">
        <x:v>Somente Fortis</x:v>
      </x:c>
      <x:c r="C229" s="9" t="str">
        <x:v>Pasto fraco</x:v>
      </x:c>
      <x:c r="D229" s="9" t="n">
        <x:v>8.5</x:v>
      </x:c>
      <x:c r="E229" s="11" t="n">
        <x:f>Premissas!$B$6</x:f>
        <x:v>330</x:v>
      </x:c>
      <x:c r="F229" s="9" t="n">
        <x:f>XLOOKUP(A229,Lotes!$A$4:$A$8,Lotes!$B$4:$B$8,0)</x:f>
        <x:v>0</x:v>
      </x:c>
      <x:c r="G229" s="13" t="n">
        <x:f>XLOOKUP(A229,Lotes!$A$4:$A$8,Lotes!$C$4:$C$8,0)</x:f>
        <x:v>4</x:v>
      </x:c>
      <x:c r="H229" s="13" t="n">
        <x:f>G229*Premissas!$B$5/Premissas!$B$4</x:f>
        <x:v>109.09090909090908</x:v>
      </x:c>
      <x:c r="I229" s="13" t="n">
        <x:f>D229*Premissas!$B$5/Premissas!$B$4</x:f>
        <x:v>231.8181818181818</x:v>
      </x:c>
      <x:c r="J229" s="13" t="n">
        <x:f>MAX(0,I229-H229)</x:f>
        <x:v>122.72727272727273</x:v>
      </x:c>
      <x:c r="K229" s="13" t="n">
        <x:f>SUMIFS('Cenários de GMD'!$C$4:$C$19,'Cenários de GMD'!$A$4:$A$19,B229,'Cenários de GMD'!$B$4:$B$19,C229)</x:f>
        <x:v>0.1</x:v>
      </x:c>
      <x:c r="L229" s="13" t="n">
        <x:f>IF(J229=0,0,J229/K229)</x:f>
        <x:v>1227.2727272727273</x:v>
      </x:c>
      <x:c r="M229" s="13" t="n">
        <x:f>((H229+I229)/2)*SUMIFS('Cenários de GMD'!$D$4:$D$19,'Cenários de GMD'!$A$4:$A$19,B229,'Cenários de GMD'!$B$4:$B$19,C229)</x:f>
        <x:v>0.17045454545454544</x:v>
      </x:c>
      <x:c r="N229" s="13" t="n">
        <x:f>((H229+I229)/2)*SUMIFS('Cenários de GMD'!$E$4:$E$19,'Cenários de GMD'!$A$4:$A$19,B229,'Cenários de GMD'!$B$4:$B$19,C229)</x:f>
        <x:v>0</x:v>
      </x:c>
      <x:c r="O229" s="11" t="n">
        <x:f>M229*Insumos!$E$4+N229*Insumos!$E$5</x:f>
        <x:v>0.5175</x:v>
      </x:c>
      <x:c r="P229" s="11" t="n">
        <x:f>O229*Premissas!$B$7</x:f>
        <x:v>15.524999999999999</x:v>
      </x:c>
      <x:c r="Q229" s="11" t="n">
        <x:f>O229*L229</x:f>
        <x:v>635.1136363636363</x:v>
      </x:c>
      <x:c r="R229" s="11" t="n">
        <x:f>Premissas!$B$7*Premissas!$B$8*L229</x:f>
        <x:v>0</x:v>
      </x:c>
      <x:c r="S229" s="11" t="n">
        <x:f>D229*E229</x:f>
        <x:v>2805</x:v>
      </x:c>
      <x:c r="T229" s="11" t="n">
        <x:f>S229*F229</x:f>
        <x:v>0</x:v>
      </x:c>
      <x:c r="U229" s="11" t="n">
        <x:f>S229-XLOOKUP(A229,Lotes!$A$4:$A$8,Lotes!$D$4:$D$8,Premissas!$B$9)-Q229-R229</x:f>
        <x:v>2169.886363636364</x:v>
      </x:c>
      <x:c r="V229" s="11" t="n">
        <x:f>U229*F229</x:f>
        <x:v>0</x:v>
      </x:c>
      <x:c r="W229" s="10" t="n">
        <x:f>IF(S229=0,0,U229/S229)</x:f>
        <x:v>0.7735780262518231</x:v>
      </x:c>
      <x:c r="X229" s="11" t="n">
        <x:f>IF(D229-G229&lt;=0,0,Q229/(D229-G229))</x:f>
        <x:v>141.13636363636363</x:v>
      </x:c>
      <x:c r="Y229" s="10" t="n">
        <x:f>IFERROR(U229/(XLOOKUP(A229,Lotes!$A$4:$A$8,Lotes!$D$4:$D$8,Premissas!$B$9)+Q229+R229),0)</x:f>
        <x:v>3.41653247450349</x:v>
      </x:c>
      <x:c r="Z229" s="10" t="n">
        <x:f>IF(L229=0,Y229,Y229/MAX(1,L229/Premissas!$B$7))</x:f>
        <x:v>0.08351523826564088</x:v>
      </x:c>
      <x:c r="AA229" s="9" t="str">
        <x:f>IF(L229=0,"Venda imediata",IF(L229&lt;=60,"Baixo",IF(L229&lt;=120,"Médio","Alto")))</x:f>
        <x:v>Alto</x:v>
      </x:c>
      <x:c r="AB229" s="9" t="str">
        <x:f>IF(U229&lt;0,"Não fazer",IF(AA229="Alto","Risco seca",IF(Z229&gt;=0.03,"Bom giro","Margem ok")))</x:f>
        <x:v>Risco seca</x:v>
      </x:c>
    </x:row>
    <x:row r="230">
      <x:c r="A230" s="9" t="str">
        <x:v>Bezerras pequenas 4@</x:v>
      </x:c>
      <x:c r="B230" s="9" t="str">
        <x:v>Somente Fortis</x:v>
      </x:c>
      <x:c r="C230" s="9" t="str">
        <x:v>Pasto fraco</x:v>
      </x:c>
      <x:c r="D230" s="9" t="n">
        <x:v>9</x:v>
      </x:c>
      <x:c r="E230" s="11" t="n">
        <x:f>Premissas!$B$6</x:f>
        <x:v>330</x:v>
      </x:c>
      <x:c r="F230" s="9" t="n">
        <x:f>XLOOKUP(A230,Lotes!$A$4:$A$8,Lotes!$B$4:$B$8,0)</x:f>
        <x:v>0</x:v>
      </x:c>
      <x:c r="G230" s="13" t="n">
        <x:f>XLOOKUP(A230,Lotes!$A$4:$A$8,Lotes!$C$4:$C$8,0)</x:f>
        <x:v>4</x:v>
      </x:c>
      <x:c r="H230" s="13" t="n">
        <x:f>G230*Premissas!$B$5/Premissas!$B$4</x:f>
        <x:v>109.09090909090908</x:v>
      </x:c>
      <x:c r="I230" s="13" t="n">
        <x:f>D230*Premissas!$B$5/Premissas!$B$4</x:f>
        <x:v>245.45454545454544</x:v>
      </x:c>
      <x:c r="J230" s="13" t="n">
        <x:f>MAX(0,I230-H230)</x:f>
        <x:v>136.36363636363637</x:v>
      </x:c>
      <x:c r="K230" s="13" t="n">
        <x:f>SUMIFS('Cenários de GMD'!$C$4:$C$19,'Cenários de GMD'!$A$4:$A$19,B230,'Cenários de GMD'!$B$4:$B$19,C230)</x:f>
        <x:v>0.1</x:v>
      </x:c>
      <x:c r="L230" s="13" t="n">
        <x:f>IF(J230=0,0,J230/K230)</x:f>
        <x:v>1363.6363636363637</x:v>
      </x:c>
      <x:c r="M230" s="13" t="n">
        <x:f>((H230+I230)/2)*SUMIFS('Cenários de GMD'!$D$4:$D$19,'Cenários de GMD'!$A$4:$A$19,B230,'Cenários de GMD'!$B$4:$B$19,C230)</x:f>
        <x:v>0.17727272727272725</x:v>
      </x:c>
      <x:c r="N230" s="13" t="n">
        <x:f>((H230+I230)/2)*SUMIFS('Cenários de GMD'!$E$4:$E$19,'Cenários de GMD'!$A$4:$A$19,B230,'Cenários de GMD'!$B$4:$B$19,C230)</x:f>
        <x:v>0</x:v>
      </x:c>
      <x:c r="O230" s="11" t="n">
        <x:f>M230*Insumos!$E$4+N230*Insumos!$E$5</x:f>
        <x:v>0.5381999999999999</x:v>
      </x:c>
      <x:c r="P230" s="11" t="n">
        <x:f>O230*Premissas!$B$7</x:f>
        <x:v>16.145999999999997</x:v>
      </x:c>
      <x:c r="Q230" s="11" t="n">
        <x:f>O230*L230</x:f>
        <x:v>733.9090909090909</x:v>
      </x:c>
      <x:c r="R230" s="11" t="n">
        <x:f>Premissas!$B$7*Premissas!$B$8*L230</x:f>
        <x:v>0</x:v>
      </x:c>
      <x:c r="S230" s="11" t="n">
        <x:f>D230*E230</x:f>
        <x:v>2970</x:v>
      </x:c>
      <x:c r="T230" s="11" t="n">
        <x:f>S230*F230</x:f>
        <x:v>0</x:v>
      </x:c>
      <x:c r="U230" s="11" t="n">
        <x:f>S230-XLOOKUP(A230,Lotes!$A$4:$A$8,Lotes!$D$4:$D$8,Premissas!$B$9)-Q230-R230</x:f>
        <x:v>2236.090909090909</x:v>
      </x:c>
      <x:c r="V230" s="11" t="n">
        <x:f>U230*F230</x:f>
        <x:v>0</x:v>
      </x:c>
      <x:c r="W230" s="10" t="n">
        <x:f>IF(S230=0,0,U230/S230)</x:f>
        <x:v>0.7528925619834711</x:v>
      </x:c>
      <x:c r="X230" s="11" t="n">
        <x:f>IF(D230-G230&lt;=0,0,Q230/(D230-G230))</x:f>
        <x:v>146.78181818181818</x:v>
      </x:c>
      <x:c r="Y230" s="10" t="n">
        <x:f>IFERROR(U230/(XLOOKUP(A230,Lotes!$A$4:$A$8,Lotes!$D$4:$D$8,Premissas!$B$9)+Q230+R230),0)</x:f>
        <x:v>3.0468227424749164</x:v>
      </x:c>
      <x:c r="Z230" s="10" t="n">
        <x:f>IF(L230=0,Y230,Y230/MAX(1,L230/Premissas!$B$7))</x:f>
        <x:v>0.06703010033444814</x:v>
      </x:c>
      <x:c r="AA230" s="9" t="str">
        <x:f>IF(L230=0,"Venda imediata",IF(L230&lt;=60,"Baixo",IF(L230&lt;=120,"Médio","Alto")))</x:f>
        <x:v>Alto</x:v>
      </x:c>
      <x:c r="AB230" s="9" t="str">
        <x:f>IF(U230&lt;0,"Não fazer",IF(AA230="Alto","Risco seca",IF(Z230&gt;=0.03,"Bom giro","Margem ok")))</x:f>
        <x:v>Risco seca</x:v>
      </x:c>
    </x:row>
    <x:row r="231">
      <x:c r="A231" s="9" t="str">
        <x:v>Bezerras pequenas 4@</x:v>
      </x:c>
      <x:c r="B231" s="9" t="str">
        <x:v>Somente Fortis</x:v>
      </x:c>
      <x:c r="C231" s="9" t="str">
        <x:v>Pasto fraco</x:v>
      </x:c>
      <x:c r="D231" s="9" t="n">
        <x:v>10.5</x:v>
      </x:c>
      <x:c r="E231" s="11" t="n">
        <x:f>Premissas!$B$6</x:f>
        <x:v>330</x:v>
      </x:c>
      <x:c r="F231" s="9" t="n">
        <x:f>XLOOKUP(A231,Lotes!$A$4:$A$8,Lotes!$B$4:$B$8,0)</x:f>
        <x:v>0</x:v>
      </x:c>
      <x:c r="G231" s="13" t="n">
        <x:f>XLOOKUP(A231,Lotes!$A$4:$A$8,Lotes!$C$4:$C$8,0)</x:f>
        <x:v>4</x:v>
      </x:c>
      <x:c r="H231" s="13" t="n">
        <x:f>G231*Premissas!$B$5/Premissas!$B$4</x:f>
        <x:v>109.09090909090908</x:v>
      </x:c>
      <x:c r="I231" s="13" t="n">
        <x:f>D231*Premissas!$B$5/Premissas!$B$4</x:f>
        <x:v>286.3636363636363</x:v>
      </x:c>
      <x:c r="J231" s="13" t="n">
        <x:f>MAX(0,I231-H231)</x:f>
        <x:v>177.27272727272725</x:v>
      </x:c>
      <x:c r="K231" s="13" t="n">
        <x:f>SUMIFS('Cenários de GMD'!$C$4:$C$19,'Cenários de GMD'!$A$4:$A$19,B231,'Cenários de GMD'!$B$4:$B$19,C231)</x:f>
        <x:v>0.1</x:v>
      </x:c>
      <x:c r="L231" s="13" t="n">
        <x:f>IF(J231=0,0,J231/K231)</x:f>
        <x:v>1772.7272727272725</x:v>
      </x:c>
      <x:c r="M231" s="13" t="n">
        <x:f>((H231+I231)/2)*SUMIFS('Cenários de GMD'!$D$4:$D$19,'Cenários de GMD'!$A$4:$A$19,B231,'Cenários de GMD'!$B$4:$B$19,C231)</x:f>
        <x:v>0.1977272727272727</x:v>
      </x:c>
      <x:c r="N231" s="13" t="n">
        <x:f>((H231+I231)/2)*SUMIFS('Cenários de GMD'!$E$4:$E$19,'Cenários de GMD'!$A$4:$A$19,B231,'Cenários de GMD'!$B$4:$B$19,C231)</x:f>
        <x:v>0</x:v>
      </x:c>
      <x:c r="O231" s="11" t="n">
        <x:f>M231*Insumos!$E$4+N231*Insumos!$E$5</x:f>
        <x:v>0.6003</x:v>
      </x:c>
      <x:c r="P231" s="11" t="n">
        <x:f>O231*Premissas!$B$7</x:f>
        <x:v>18.008999999999997</x:v>
      </x:c>
      <x:c r="Q231" s="11" t="n">
        <x:f>O231*L231</x:f>
        <x:v>1064.1681818181817</x:v>
      </x:c>
      <x:c r="R231" s="11" t="n">
        <x:f>Premissas!$B$7*Premissas!$B$8*L231</x:f>
        <x:v>0</x:v>
      </x:c>
      <x:c r="S231" s="11" t="n">
        <x:f>D231*E231</x:f>
        <x:v>3465</x:v>
      </x:c>
      <x:c r="T231" s="11" t="n">
        <x:f>S231*F231</x:f>
        <x:v>0</x:v>
      </x:c>
      <x:c r="U231" s="11" t="n">
        <x:f>S231-XLOOKUP(A231,Lotes!$A$4:$A$8,Lotes!$D$4:$D$8,Premissas!$B$9)-Q231-R231</x:f>
        <x:v>2400.8318181818186</x:v>
      </x:c>
      <x:c r="V231" s="11" t="n">
        <x:f>U231*F231</x:f>
        <x:v>0</x:v>
      </x:c>
      <x:c r="W231" s="10" t="n">
        <x:f>IF(S231=0,0,U231/S231)</x:f>
        <x:v>0.6928807556080284</x:v>
      </x:c>
      <x:c r="X231" s="11" t="n">
        <x:f>IF(D231-G231&lt;=0,0,Q231/(D231-G231))</x:f>
        <x:v>163.7181818181818</x:v>
      </x:c>
      <x:c r="Y231" s="10" t="n">
        <x:f>IFERROR(U231/(XLOOKUP(A231,Lotes!$A$4:$A$8,Lotes!$D$4:$D$8,Premissas!$B$9)+Q231+R231),0)</x:f>
        <x:v>2.256064275554531</x:v>
      </x:c>
      <x:c r="Z231" s="10" t="n">
        <x:f>IF(L231=0,Y231,Y231/MAX(1,L231/Premissas!$B$7))</x:f>
        <x:v>0.038179549278615145</x:v>
      </x:c>
      <x:c r="AA231" s="9" t="str">
        <x:f>IF(L231=0,"Venda imediata",IF(L231&lt;=60,"Baixo",IF(L231&lt;=120,"Médio","Alto")))</x:f>
        <x:v>Alto</x:v>
      </x:c>
      <x:c r="AB231" s="9" t="str">
        <x:f>IF(U231&lt;0,"Não fazer",IF(AA231="Alto","Risco seca",IF(Z231&gt;=0.03,"Bom giro","Margem ok")))</x:f>
        <x:v>Risco seca</x:v>
      </x:c>
    </x:row>
    <x:row r="232">
      <x:c r="A232" s="9" t="str">
        <x:v>Bezerras pequenas 4@</x:v>
      </x:c>
      <x:c r="B232" s="9" t="str">
        <x:v>Somente Fortis</x:v>
      </x:c>
      <x:c r="C232" s="9" t="str">
        <x:v>Pasto fraco</x:v>
      </x:c>
      <x:c r="D232" s="9" t="n">
        <x:v>11</x:v>
      </x:c>
      <x:c r="E232" s="11" t="n">
        <x:f>Premissas!$B$6</x:f>
        <x:v>330</x:v>
      </x:c>
      <x:c r="F232" s="9" t="n">
        <x:f>XLOOKUP(A232,Lotes!$A$4:$A$8,Lotes!$B$4:$B$8,0)</x:f>
        <x:v>0</x:v>
      </x:c>
      <x:c r="G232" s="13" t="n">
        <x:f>XLOOKUP(A232,Lotes!$A$4:$A$8,Lotes!$C$4:$C$8,0)</x:f>
        <x:v>4</x:v>
      </x:c>
      <x:c r="H232" s="13" t="n">
        <x:f>G232*Premissas!$B$5/Premissas!$B$4</x:f>
        <x:v>109.09090909090908</x:v>
      </x:c>
      <x:c r="I232" s="13" t="n">
        <x:f>D232*Premissas!$B$5/Premissas!$B$4</x:f>
        <x:v>300</x:v>
      </x:c>
      <x:c r="J232" s="13" t="n">
        <x:f>MAX(0,I232-H232)</x:f>
        <x:v>190.90909090909093</x:v>
      </x:c>
      <x:c r="K232" s="13" t="n">
        <x:f>SUMIFS('Cenários de GMD'!$C$4:$C$19,'Cenários de GMD'!$A$4:$A$19,B232,'Cenários de GMD'!$B$4:$B$19,C232)</x:f>
        <x:v>0.1</x:v>
      </x:c>
      <x:c r="L232" s="13" t="n">
        <x:f>IF(J232=0,0,J232/K232)</x:f>
        <x:v>1909.0909090909092</x:v>
      </x:c>
      <x:c r="M232" s="13" t="n">
        <x:f>((H232+I232)/2)*SUMIFS('Cenários de GMD'!$D$4:$D$19,'Cenários de GMD'!$A$4:$A$19,B232,'Cenários de GMD'!$B$4:$B$19,C232)</x:f>
        <x:v>0.20454545454545453</x:v>
      </x:c>
      <x:c r="N232" s="13" t="n">
        <x:f>((H232+I232)/2)*SUMIFS('Cenários de GMD'!$E$4:$E$19,'Cenários de GMD'!$A$4:$A$19,B232,'Cenários de GMD'!$B$4:$B$19,C232)</x:f>
        <x:v>0</x:v>
      </x:c>
      <x:c r="O232" s="11" t="n">
        <x:f>M232*Insumos!$E$4+N232*Insumos!$E$5</x:f>
        <x:v>0.621</x:v>
      </x:c>
      <x:c r="P232" s="11" t="n">
        <x:f>O232*Premissas!$B$7</x:f>
        <x:v>18.63</x:v>
      </x:c>
      <x:c r="Q232" s="11" t="n">
        <x:f>O232*L232</x:f>
        <x:v>1185.5454545454547</x:v>
      </x:c>
      <x:c r="R232" s="11" t="n">
        <x:f>Premissas!$B$7*Premissas!$B$8*L232</x:f>
        <x:v>0</x:v>
      </x:c>
      <x:c r="S232" s="11" t="n">
        <x:f>D232*E232</x:f>
        <x:v>3630</x:v>
      </x:c>
      <x:c r="T232" s="11" t="n">
        <x:f>S232*F232</x:f>
        <x:v>0</x:v>
      </x:c>
      <x:c r="U232" s="11" t="n">
        <x:f>S232-XLOOKUP(A232,Lotes!$A$4:$A$8,Lotes!$D$4:$D$8,Premissas!$B$9)-Q232-R232</x:f>
        <x:v>2444.454545454545</x:v>
      </x:c>
      <x:c r="V232" s="11" t="n">
        <x:f>U232*F232</x:f>
        <x:v>0</x:v>
      </x:c>
      <x:c r="W232" s="10" t="n">
        <x:f>IF(S232=0,0,U232/S232)</x:f>
        <x:v>0.673403456048084</x:v>
      </x:c>
      <x:c r="X232" s="11" t="n">
        <x:f>IF(D232-G232&lt;=0,0,Q232/(D232-G232))</x:f>
        <x:v>169.3636363636364</x:v>
      </x:c>
      <x:c r="Y232" s="10" t="n">
        <x:f>IFERROR(U232/(XLOOKUP(A232,Lotes!$A$4:$A$8,Lotes!$D$4:$D$8,Premissas!$B$9)+Q232+R232),0)</x:f>
        <x:v>2.0618817575339308</x:v>
      </x:c>
      <x:c r="Z232" s="10" t="n">
        <x:f>IF(L232=0,Y232,Y232/MAX(1,L232/Premissas!$B$7))</x:f>
        <x:v>0.03240099904696177</x:v>
      </x:c>
      <x:c r="AA232" s="9" t="str">
        <x:f>IF(L232=0,"Venda imediata",IF(L232&lt;=60,"Baixo",IF(L232&lt;=120,"Médio","Alto")))</x:f>
        <x:v>Alto</x:v>
      </x:c>
      <x:c r="AB232" s="9" t="str">
        <x:f>IF(U232&lt;0,"Não fazer",IF(AA232="Alto","Risco seca",IF(Z232&gt;=0.03,"Bom giro","Margem ok")))</x:f>
        <x:v>Risco seca</x:v>
      </x:c>
    </x:row>
    <x:row r="233">
      <x:c r="A233" s="9" t="str">
        <x:v>Bezerras pequenas 4@</x:v>
      </x:c>
      <x:c r="B233" s="9" t="str">
        <x:v>Somente Fortis</x:v>
      </x:c>
      <x:c r="C233" s="9" t="str">
        <x:v>Pasto fraco</x:v>
      </x:c>
      <x:c r="D233" s="9" t="n">
        <x:v>12</x:v>
      </x:c>
      <x:c r="E233" s="11" t="n">
        <x:f>Premissas!$B$6</x:f>
        <x:v>330</x:v>
      </x:c>
      <x:c r="F233" s="9" t="n">
        <x:f>XLOOKUP(A233,Lotes!$A$4:$A$8,Lotes!$B$4:$B$8,0)</x:f>
        <x:v>0</x:v>
      </x:c>
      <x:c r="G233" s="13" t="n">
        <x:f>XLOOKUP(A233,Lotes!$A$4:$A$8,Lotes!$C$4:$C$8,0)</x:f>
        <x:v>4</x:v>
      </x:c>
      <x:c r="H233" s="13" t="n">
        <x:f>G233*Premissas!$B$5/Premissas!$B$4</x:f>
        <x:v>109.09090909090908</x:v>
      </x:c>
      <x:c r="I233" s="13" t="n">
        <x:f>D233*Premissas!$B$5/Premissas!$B$4</x:f>
        <x:v>327.27272727272725</x:v>
      </x:c>
      <x:c r="J233" s="13" t="n">
        <x:f>MAX(0,I233-H233)</x:f>
        <x:v>218.1818181818182</x:v>
      </x:c>
      <x:c r="K233" s="13" t="n">
        <x:f>SUMIFS('Cenários de GMD'!$C$4:$C$19,'Cenários de GMD'!$A$4:$A$19,B233,'Cenários de GMD'!$B$4:$B$19,C233)</x:f>
        <x:v>0.1</x:v>
      </x:c>
      <x:c r="L233" s="13" t="n">
        <x:f>IF(J233=0,0,J233/K233)</x:f>
        <x:v>2181.8181818181815</x:v>
      </x:c>
      <x:c r="M233" s="13" t="n">
        <x:f>((H233+I233)/2)*SUMIFS('Cenários de GMD'!$D$4:$D$19,'Cenários de GMD'!$A$4:$A$19,B233,'Cenários de GMD'!$B$4:$B$19,C233)</x:f>
        <x:v>0.21818181818181817</x:v>
      </x:c>
      <x:c r="N233" s="13" t="n">
        <x:f>((H233+I233)/2)*SUMIFS('Cenários de GMD'!$E$4:$E$19,'Cenários de GMD'!$A$4:$A$19,B233,'Cenários de GMD'!$B$4:$B$19,C233)</x:f>
        <x:v>0</x:v>
      </x:c>
      <x:c r="O233" s="11" t="n">
        <x:f>M233*Insumos!$E$4+N233*Insumos!$E$5</x:f>
        <x:v>0.6624</x:v>
      </x:c>
      <x:c r="P233" s="11" t="n">
        <x:f>O233*Premissas!$B$7</x:f>
        <x:v>19.872</x:v>
      </x:c>
      <x:c r="Q233" s="11" t="n">
        <x:f>O233*L233</x:f>
        <x:v>1445.2363636363634</x:v>
      </x:c>
      <x:c r="R233" s="11" t="n">
        <x:f>Premissas!$B$7*Premissas!$B$8*L233</x:f>
        <x:v>0</x:v>
      </x:c>
      <x:c r="S233" s="11" t="n">
        <x:f>D233*E233</x:f>
        <x:v>3960</x:v>
      </x:c>
      <x:c r="T233" s="11" t="n">
        <x:f>S233*F233</x:f>
        <x:v>0</x:v>
      </x:c>
      <x:c r="U233" s="11" t="n">
        <x:f>S233-XLOOKUP(A233,Lotes!$A$4:$A$8,Lotes!$D$4:$D$8,Premissas!$B$9)-Q233-R233</x:f>
        <x:v>2514.7636363636366</x:v>
      </x:c>
      <x:c r="V233" s="11" t="n">
        <x:f>U233*F233</x:f>
        <x:v>0</x:v>
      </x:c>
      <x:c r="W233" s="10" t="n">
        <x:f>IF(S233=0,0,U233/S233)</x:f>
        <x:v>0.6350413223140496</x:v>
      </x:c>
      <x:c r="X233" s="11" t="n">
        <x:f>IF(D233-G233&lt;=0,0,Q233/(D233-G233))</x:f>
        <x:v>180.65454545454543</x:v>
      </x:c>
      <x:c r="Y233" s="10" t="n">
        <x:f>IFERROR(U233/(XLOOKUP(A233,Lotes!$A$4:$A$8,Lotes!$D$4:$D$8,Premissas!$B$9)+Q233+R233),0)</x:f>
        <x:v>1.7400362318840583</x:v>
      </x:c>
      <x:c r="Z233" s="10" t="n">
        <x:f>IF(L233=0,Y233,Y233/MAX(1,L233/Premissas!$B$7))</x:f>
        <x:v>0.023925498188405805</x:v>
      </x:c>
      <x:c r="AA233" s="9" t="str">
        <x:f>IF(L233=0,"Venda imediata",IF(L233&lt;=60,"Baixo",IF(L233&lt;=120,"Médio","Alto")))</x:f>
        <x:v>Alto</x:v>
      </x:c>
      <x:c r="AB233" s="9" t="str">
        <x:f>IF(U233&lt;0,"Não fazer",IF(AA233="Alto","Risco seca",IF(Z233&gt;=0.03,"Bom giro","Margem ok")))</x:f>
        <x:v>Risco seca</x:v>
      </x:c>
    </x:row>
    <x:row r="234">
      <x:c r="A234" s="9" t="str">
        <x:v>Bezerras pequenas 4@</x:v>
      </x:c>
      <x:c r="B234" s="9" t="str">
        <x:v>Somente Fortis</x:v>
      </x:c>
      <x:c r="C234" s="9" t="str">
        <x:v>Pasto médio</x:v>
      </x:c>
      <x:c r="D234" s="9" t="n">
        <x:v>8.5</x:v>
      </x:c>
      <x:c r="E234" s="11" t="n">
        <x:f>Premissas!$B$6</x:f>
        <x:v>330</x:v>
      </x:c>
      <x:c r="F234" s="9" t="n">
        <x:f>XLOOKUP(A234,Lotes!$A$4:$A$8,Lotes!$B$4:$B$8,0)</x:f>
        <x:v>0</x:v>
      </x:c>
      <x:c r="G234" s="13" t="n">
        <x:f>XLOOKUP(A234,Lotes!$A$4:$A$8,Lotes!$C$4:$C$8,0)</x:f>
        <x:v>4</x:v>
      </x:c>
      <x:c r="H234" s="13" t="n">
        <x:f>G234*Premissas!$B$5/Premissas!$B$4</x:f>
        <x:v>109.09090909090908</x:v>
      </x:c>
      <x:c r="I234" s="13" t="n">
        <x:f>D234*Premissas!$B$5/Premissas!$B$4</x:f>
        <x:v>231.8181818181818</x:v>
      </x:c>
      <x:c r="J234" s="13" t="n">
        <x:f>MAX(0,I234-H234)</x:f>
        <x:v>122.72727272727273</x:v>
      </x:c>
      <x:c r="K234" s="13" t="n">
        <x:f>SUMIFS('Cenários de GMD'!$C$4:$C$19,'Cenários de GMD'!$A$4:$A$19,B234,'Cenários de GMD'!$B$4:$B$19,C234)</x:f>
        <x:v>0.3</x:v>
      </x:c>
      <x:c r="L234" s="13" t="n">
        <x:f>IF(J234=0,0,J234/K234)</x:f>
        <x:v>409.0909090909091</x:v>
      </x:c>
      <x:c r="M234" s="13" t="n">
        <x:f>((H234+I234)/2)*SUMIFS('Cenários de GMD'!$D$4:$D$19,'Cenários de GMD'!$A$4:$A$19,B234,'Cenários de GMD'!$B$4:$B$19,C234)</x:f>
        <x:v>0.17045454545454544</x:v>
      </x:c>
      <x:c r="N234" s="13" t="n">
        <x:f>((H234+I234)/2)*SUMIFS('Cenários de GMD'!$E$4:$E$19,'Cenários de GMD'!$A$4:$A$19,B234,'Cenários de GMD'!$B$4:$B$19,C234)</x:f>
        <x:v>0</x:v>
      </x:c>
      <x:c r="O234" s="11" t="n">
        <x:f>M234*Insumos!$E$4+N234*Insumos!$E$5</x:f>
        <x:v>0.5175</x:v>
      </x:c>
      <x:c r="P234" s="11" t="n">
        <x:f>O234*Premissas!$B$7</x:f>
        <x:v>15.524999999999999</x:v>
      </x:c>
      <x:c r="Q234" s="11" t="n">
        <x:f>O234*L234</x:f>
        <x:v>211.70454545454547</x:v>
      </x:c>
      <x:c r="R234" s="11" t="n">
        <x:f>Premissas!$B$7*Premissas!$B$8*L234</x:f>
        <x:v>0</x:v>
      </x:c>
      <x:c r="S234" s="11" t="n">
        <x:f>D234*E234</x:f>
        <x:v>2805</x:v>
      </x:c>
      <x:c r="T234" s="11" t="n">
        <x:f>S234*F234</x:f>
        <x:v>0</x:v>
      </x:c>
      <x:c r="U234" s="11" t="n">
        <x:f>S234-XLOOKUP(A234,Lotes!$A$4:$A$8,Lotes!$D$4:$D$8,Premissas!$B$9)-Q234-R234</x:f>
        <x:v>2593.2954545454545</x:v>
      </x:c>
      <x:c r="V234" s="11" t="n">
        <x:f>U234*F234</x:f>
        <x:v>0</x:v>
      </x:c>
      <x:c r="W234" s="10" t="n">
        <x:f>IF(S234=0,0,U234/S234)</x:f>
        <x:v>0.9245260087506076</x:v>
      </x:c>
      <x:c r="X234" s="11" t="n">
        <x:f>IF(D234-G234&lt;=0,0,Q234/(D234-G234))</x:f>
        <x:v>47.04545454545455</x:v>
      </x:c>
      <x:c r="Y234" s="10" t="n">
        <x:f>IFERROR(U234/(XLOOKUP(A234,Lotes!$A$4:$A$8,Lotes!$D$4:$D$8,Premissas!$B$9)+Q234+R234),0)</x:f>
        <x:v>12.249597423510465</x:v>
      </x:c>
      <x:c r="Z234" s="10" t="n">
        <x:f>IF(L234=0,Y234,Y234/MAX(1,L234/Premissas!$B$7))</x:f>
        <x:v>0.8983038110574341</x:v>
      </x:c>
      <x:c r="AA234" s="9" t="str">
        <x:f>IF(L234=0,"Venda imediata",IF(L234&lt;=60,"Baixo",IF(L234&lt;=120,"Médio","Alto")))</x:f>
        <x:v>Alto</x:v>
      </x:c>
      <x:c r="AB234" s="9" t="str">
        <x:f>IF(U234&lt;0,"Não fazer",IF(AA234="Alto","Risco seca",IF(Z234&gt;=0.03,"Bom giro","Margem ok")))</x:f>
        <x:v>Risco seca</x:v>
      </x:c>
    </x:row>
    <x:row r="235">
      <x:c r="A235" s="9" t="str">
        <x:v>Bezerras pequenas 4@</x:v>
      </x:c>
      <x:c r="B235" s="9" t="str">
        <x:v>Somente Fortis</x:v>
      </x:c>
      <x:c r="C235" s="9" t="str">
        <x:v>Pasto médio</x:v>
      </x:c>
      <x:c r="D235" s="9" t="n">
        <x:v>9</x:v>
      </x:c>
      <x:c r="E235" s="11" t="n">
        <x:f>Premissas!$B$6</x:f>
        <x:v>330</x:v>
      </x:c>
      <x:c r="F235" s="9" t="n">
        <x:f>XLOOKUP(A235,Lotes!$A$4:$A$8,Lotes!$B$4:$B$8,0)</x:f>
        <x:v>0</x:v>
      </x:c>
      <x:c r="G235" s="13" t="n">
        <x:f>XLOOKUP(A235,Lotes!$A$4:$A$8,Lotes!$C$4:$C$8,0)</x:f>
        <x:v>4</x:v>
      </x:c>
      <x:c r="H235" s="13" t="n">
        <x:f>G235*Premissas!$B$5/Premissas!$B$4</x:f>
        <x:v>109.09090909090908</x:v>
      </x:c>
      <x:c r="I235" s="13" t="n">
        <x:f>D235*Premissas!$B$5/Premissas!$B$4</x:f>
        <x:v>245.45454545454544</x:v>
      </x:c>
      <x:c r="J235" s="13" t="n">
        <x:f>MAX(0,I235-H235)</x:f>
        <x:v>136.36363636363637</x:v>
      </x:c>
      <x:c r="K235" s="13" t="n">
        <x:f>SUMIFS('Cenários de GMD'!$C$4:$C$19,'Cenários de GMD'!$A$4:$A$19,B235,'Cenários de GMD'!$B$4:$B$19,C235)</x:f>
        <x:v>0.3</x:v>
      </x:c>
      <x:c r="L235" s="13" t="n">
        <x:f>IF(J235=0,0,J235/K235)</x:f>
        <x:v>454.5454545454546</x:v>
      </x:c>
      <x:c r="M235" s="13" t="n">
        <x:f>((H235+I235)/2)*SUMIFS('Cenários de GMD'!$D$4:$D$19,'Cenários de GMD'!$A$4:$A$19,B235,'Cenários de GMD'!$B$4:$B$19,C235)</x:f>
        <x:v>0.17727272727272725</x:v>
      </x:c>
      <x:c r="N235" s="13" t="n">
        <x:f>((H235+I235)/2)*SUMIFS('Cenários de GMD'!$E$4:$E$19,'Cenários de GMD'!$A$4:$A$19,B235,'Cenários de GMD'!$B$4:$B$19,C235)</x:f>
        <x:v>0</x:v>
      </x:c>
      <x:c r="O235" s="11" t="n">
        <x:f>M235*Insumos!$E$4+N235*Insumos!$E$5</x:f>
        <x:v>0.5381999999999999</x:v>
      </x:c>
      <x:c r="P235" s="11" t="n">
        <x:f>O235*Premissas!$B$7</x:f>
        <x:v>16.145999999999997</x:v>
      </x:c>
      <x:c r="Q235" s="11" t="n">
        <x:f>O235*L235</x:f>
        <x:v>244.63636363636363</x:v>
      </x:c>
      <x:c r="R235" s="11" t="n">
        <x:f>Premissas!$B$7*Premissas!$B$8*L235</x:f>
        <x:v>0</x:v>
      </x:c>
      <x:c r="S235" s="11" t="n">
        <x:f>D235*E235</x:f>
        <x:v>2970</x:v>
      </x:c>
      <x:c r="T235" s="11" t="n">
        <x:f>S235*F235</x:f>
        <x:v>0</x:v>
      </x:c>
      <x:c r="U235" s="11" t="n">
        <x:f>S235-XLOOKUP(A235,Lotes!$A$4:$A$8,Lotes!$D$4:$D$8,Premissas!$B$9)-Q235-R235</x:f>
        <x:v>2725.3636363636365</x:v>
      </x:c>
      <x:c r="V235" s="11" t="n">
        <x:f>U235*F235</x:f>
        <x:v>0</x:v>
      </x:c>
      <x:c r="W235" s="10" t="n">
        <x:f>IF(S235=0,0,U235/S235)</x:f>
        <x:v>0.9176308539944904</x:v>
      </x:c>
      <x:c r="X235" s="11" t="n">
        <x:f>IF(D235-G235&lt;=0,0,Q235/(D235-G235))</x:f>
        <x:v>48.92727272727272</x:v>
      </x:c>
      <x:c r="Y235" s="10" t="n">
        <x:f>IFERROR(U235/(XLOOKUP(A235,Lotes!$A$4:$A$8,Lotes!$D$4:$D$8,Premissas!$B$9)+Q235+R235),0)</x:f>
        <x:v>11.14046822742475</x:v>
      </x:c>
      <x:c r="Z235" s="10" t="n">
        <x:f>IF(L235=0,Y235,Y235/MAX(1,L235/Premissas!$B$7))</x:f>
        <x:v>0.7352709030100334</x:v>
      </x:c>
      <x:c r="AA235" s="9" t="str">
        <x:f>IF(L235=0,"Venda imediata",IF(L235&lt;=60,"Baixo",IF(L235&lt;=120,"Médio","Alto")))</x:f>
        <x:v>Alto</x:v>
      </x:c>
      <x:c r="AB235" s="9" t="str">
        <x:f>IF(U235&lt;0,"Não fazer",IF(AA235="Alto","Risco seca",IF(Z235&gt;=0.03,"Bom giro","Margem ok")))</x:f>
        <x:v>Risco seca</x:v>
      </x:c>
    </x:row>
    <x:row r="236">
      <x:c r="A236" s="9" t="str">
        <x:v>Bezerras pequenas 4@</x:v>
      </x:c>
      <x:c r="B236" s="9" t="str">
        <x:v>Somente Fortis</x:v>
      </x:c>
      <x:c r="C236" s="9" t="str">
        <x:v>Pasto médio</x:v>
      </x:c>
      <x:c r="D236" s="9" t="n">
        <x:v>10.5</x:v>
      </x:c>
      <x:c r="E236" s="11" t="n">
        <x:f>Premissas!$B$6</x:f>
        <x:v>330</x:v>
      </x:c>
      <x:c r="F236" s="9" t="n">
        <x:f>XLOOKUP(A236,Lotes!$A$4:$A$8,Lotes!$B$4:$B$8,0)</x:f>
        <x:v>0</x:v>
      </x:c>
      <x:c r="G236" s="13" t="n">
        <x:f>XLOOKUP(A236,Lotes!$A$4:$A$8,Lotes!$C$4:$C$8,0)</x:f>
        <x:v>4</x:v>
      </x:c>
      <x:c r="H236" s="13" t="n">
        <x:f>G236*Premissas!$B$5/Premissas!$B$4</x:f>
        <x:v>109.09090909090908</x:v>
      </x:c>
      <x:c r="I236" s="13" t="n">
        <x:f>D236*Premissas!$B$5/Premissas!$B$4</x:f>
        <x:v>286.3636363636363</x:v>
      </x:c>
      <x:c r="J236" s="13" t="n">
        <x:f>MAX(0,I236-H236)</x:f>
        <x:v>177.27272727272725</x:v>
      </x:c>
      <x:c r="K236" s="13" t="n">
        <x:f>SUMIFS('Cenários de GMD'!$C$4:$C$19,'Cenários de GMD'!$A$4:$A$19,B236,'Cenários de GMD'!$B$4:$B$19,C236)</x:f>
        <x:v>0.3</x:v>
      </x:c>
      <x:c r="L236" s="13" t="n">
        <x:f>IF(J236=0,0,J236/K236)</x:f>
        <x:v>590.9090909090909</x:v>
      </x:c>
      <x:c r="M236" s="13" t="n">
        <x:f>((H236+I236)/2)*SUMIFS('Cenários de GMD'!$D$4:$D$19,'Cenários de GMD'!$A$4:$A$19,B236,'Cenários de GMD'!$B$4:$B$19,C236)</x:f>
        <x:v>0.1977272727272727</x:v>
      </x:c>
      <x:c r="N236" s="13" t="n">
        <x:f>((H236+I236)/2)*SUMIFS('Cenários de GMD'!$E$4:$E$19,'Cenários de GMD'!$A$4:$A$19,B236,'Cenários de GMD'!$B$4:$B$19,C236)</x:f>
        <x:v>0</x:v>
      </x:c>
      <x:c r="O236" s="11" t="n">
        <x:f>M236*Insumos!$E$4+N236*Insumos!$E$5</x:f>
        <x:v>0.6003</x:v>
      </x:c>
      <x:c r="P236" s="11" t="n">
        <x:f>O236*Premissas!$B$7</x:f>
        <x:v>18.008999999999997</x:v>
      </x:c>
      <x:c r="Q236" s="11" t="n">
        <x:f>O236*L236</x:f>
        <x:v>354.72272727272724</x:v>
      </x:c>
      <x:c r="R236" s="11" t="n">
        <x:f>Premissas!$B$7*Premissas!$B$8*L236</x:f>
        <x:v>0</x:v>
      </x:c>
      <x:c r="S236" s="11" t="n">
        <x:f>D236*E236</x:f>
        <x:v>3465</x:v>
      </x:c>
      <x:c r="T236" s="11" t="n">
        <x:f>S236*F236</x:f>
        <x:v>0</x:v>
      </x:c>
      <x:c r="U236" s="11" t="n">
        <x:f>S236-XLOOKUP(A236,Lotes!$A$4:$A$8,Lotes!$D$4:$D$8,Premissas!$B$9)-Q236-R236</x:f>
        <x:v>3110.2772727272727</x:v>
      </x:c>
      <x:c r="V236" s="11" t="n">
        <x:f>U236*F236</x:f>
        <x:v>0</x:v>
      </x:c>
      <x:c r="W236" s="10" t="n">
        <x:f>IF(S236=0,0,U236/S236)</x:f>
        <x:v>0.8976269185360094</x:v>
      </x:c>
      <x:c r="X236" s="11" t="n">
        <x:f>IF(D236-G236&lt;=0,0,Q236/(D236-G236))</x:f>
        <x:v>54.57272727272727</x:v>
      </x:c>
      <x:c r="Y236" s="10" t="n">
        <x:f>IFERROR(U236/(XLOOKUP(A236,Lotes!$A$4:$A$8,Lotes!$D$4:$D$8,Premissas!$B$9)+Q236+R236),0)</x:f>
        <x:v>8.768192826663592</x:v>
      </x:c>
      <x:c r="Z236" s="10" t="n">
        <x:f>IF(L236=0,Y236,Y236/MAX(1,L236/Premissas!$B$7))</x:f>
        <x:v>0.4451544050459978</x:v>
      </x:c>
      <x:c r="AA236" s="9" t="str">
        <x:f>IF(L236=0,"Venda imediata",IF(L236&lt;=60,"Baixo",IF(L236&lt;=120,"Médio","Alto")))</x:f>
        <x:v>Alto</x:v>
      </x:c>
      <x:c r="AB236" s="9" t="str">
        <x:f>IF(U236&lt;0,"Não fazer",IF(AA236="Alto","Risco seca",IF(Z236&gt;=0.03,"Bom giro","Margem ok")))</x:f>
        <x:v>Risco seca</x:v>
      </x:c>
    </x:row>
    <x:row r="237">
      <x:c r="A237" s="9" t="str">
        <x:v>Bezerras pequenas 4@</x:v>
      </x:c>
      <x:c r="B237" s="9" t="str">
        <x:v>Somente Fortis</x:v>
      </x:c>
      <x:c r="C237" s="9" t="str">
        <x:v>Pasto médio</x:v>
      </x:c>
      <x:c r="D237" s="9" t="n">
        <x:v>11</x:v>
      </x:c>
      <x:c r="E237" s="11" t="n">
        <x:f>Premissas!$B$6</x:f>
        <x:v>330</x:v>
      </x:c>
      <x:c r="F237" s="9" t="n">
        <x:f>XLOOKUP(A237,Lotes!$A$4:$A$8,Lotes!$B$4:$B$8,0)</x:f>
        <x:v>0</x:v>
      </x:c>
      <x:c r="G237" s="13" t="n">
        <x:f>XLOOKUP(A237,Lotes!$A$4:$A$8,Lotes!$C$4:$C$8,0)</x:f>
        <x:v>4</x:v>
      </x:c>
      <x:c r="H237" s="13" t="n">
        <x:f>G237*Premissas!$B$5/Premissas!$B$4</x:f>
        <x:v>109.09090909090908</x:v>
      </x:c>
      <x:c r="I237" s="13" t="n">
        <x:f>D237*Premissas!$B$5/Premissas!$B$4</x:f>
        <x:v>300</x:v>
      </x:c>
      <x:c r="J237" s="13" t="n">
        <x:f>MAX(0,I237-H237)</x:f>
        <x:v>190.90909090909093</x:v>
      </x:c>
      <x:c r="K237" s="13" t="n">
        <x:f>SUMIFS('Cenários de GMD'!$C$4:$C$19,'Cenários de GMD'!$A$4:$A$19,B237,'Cenários de GMD'!$B$4:$B$19,C237)</x:f>
        <x:v>0.3</x:v>
      </x:c>
      <x:c r="L237" s="13" t="n">
        <x:f>IF(J237=0,0,J237/K237)</x:f>
        <x:v>636.3636363636365</x:v>
      </x:c>
      <x:c r="M237" s="13" t="n">
        <x:f>((H237+I237)/2)*SUMIFS('Cenários de GMD'!$D$4:$D$19,'Cenários de GMD'!$A$4:$A$19,B237,'Cenários de GMD'!$B$4:$B$19,C237)</x:f>
        <x:v>0.20454545454545453</x:v>
      </x:c>
      <x:c r="N237" s="13" t="n">
        <x:f>((H237+I237)/2)*SUMIFS('Cenários de GMD'!$E$4:$E$19,'Cenários de GMD'!$A$4:$A$19,B237,'Cenários de GMD'!$B$4:$B$19,C237)</x:f>
        <x:v>0</x:v>
      </x:c>
      <x:c r="O237" s="11" t="n">
        <x:f>M237*Insumos!$E$4+N237*Insumos!$E$5</x:f>
        <x:v>0.621</x:v>
      </x:c>
      <x:c r="P237" s="11" t="n">
        <x:f>O237*Premissas!$B$7</x:f>
        <x:v>18.63</x:v>
      </x:c>
      <x:c r="Q237" s="11" t="n">
        <x:f>O237*L237</x:f>
        <x:v>395.18181818181824</x:v>
      </x:c>
      <x:c r="R237" s="11" t="n">
        <x:f>Premissas!$B$7*Premissas!$B$8*L237</x:f>
        <x:v>0</x:v>
      </x:c>
      <x:c r="S237" s="11" t="n">
        <x:f>D237*E237</x:f>
        <x:v>3630</x:v>
      </x:c>
      <x:c r="T237" s="11" t="n">
        <x:f>S237*F237</x:f>
        <x:v>0</x:v>
      </x:c>
      <x:c r="U237" s="11" t="n">
        <x:f>S237-XLOOKUP(A237,Lotes!$A$4:$A$8,Lotes!$D$4:$D$8,Premissas!$B$9)-Q237-R237</x:f>
        <x:v>3234.818181818182</x:v>
      </x:c>
      <x:c r="V237" s="11" t="n">
        <x:f>U237*F237</x:f>
        <x:v>0</x:v>
      </x:c>
      <x:c r="W237" s="10" t="n">
        <x:f>IF(S237=0,0,U237/S237)</x:f>
        <x:v>0.8911344853493615</x:v>
      </x:c>
      <x:c r="X237" s="11" t="n">
        <x:f>IF(D237-G237&lt;=0,0,Q237/(D237-G237))</x:f>
        <x:v>56.45454545454546</x:v>
      </x:c>
      <x:c r="Y237" s="10" t="n">
        <x:f>IFERROR(U237/(XLOOKUP(A237,Lotes!$A$4:$A$8,Lotes!$D$4:$D$8,Premissas!$B$9)+Q237+R237),0)</x:f>
        <x:v>8.185645272601793</x:v>
      </x:c>
      <x:c r="Z237" s="10" t="n">
        <x:f>IF(L237=0,Y237,Y237/MAX(1,L237/Premissas!$B$7))</x:f>
        <x:v>0.3858947057083702</x:v>
      </x:c>
      <x:c r="AA237" s="9" t="str">
        <x:f>IF(L237=0,"Venda imediata",IF(L237&lt;=60,"Baixo",IF(L237&lt;=120,"Médio","Alto")))</x:f>
        <x:v>Alto</x:v>
      </x:c>
      <x:c r="AB237" s="9" t="str">
        <x:f>IF(U237&lt;0,"Não fazer",IF(AA237="Alto","Risco seca",IF(Z237&gt;=0.03,"Bom giro","Margem ok")))</x:f>
        <x:v>Risco seca</x:v>
      </x:c>
    </x:row>
    <x:row r="238">
      <x:c r="A238" s="9" t="str">
        <x:v>Bezerras pequenas 4@</x:v>
      </x:c>
      <x:c r="B238" s="9" t="str">
        <x:v>Somente Fortis</x:v>
      </x:c>
      <x:c r="C238" s="9" t="str">
        <x:v>Pasto médio</x:v>
      </x:c>
      <x:c r="D238" s="9" t="n">
        <x:v>12</x:v>
      </x:c>
      <x:c r="E238" s="11" t="n">
        <x:f>Premissas!$B$6</x:f>
        <x:v>330</x:v>
      </x:c>
      <x:c r="F238" s="9" t="n">
        <x:f>XLOOKUP(A238,Lotes!$A$4:$A$8,Lotes!$B$4:$B$8,0)</x:f>
        <x:v>0</x:v>
      </x:c>
      <x:c r="G238" s="13" t="n">
        <x:f>XLOOKUP(A238,Lotes!$A$4:$A$8,Lotes!$C$4:$C$8,0)</x:f>
        <x:v>4</x:v>
      </x:c>
      <x:c r="H238" s="13" t="n">
        <x:f>G238*Premissas!$B$5/Premissas!$B$4</x:f>
        <x:v>109.09090909090908</x:v>
      </x:c>
      <x:c r="I238" s="13" t="n">
        <x:f>D238*Premissas!$B$5/Premissas!$B$4</x:f>
        <x:v>327.27272727272725</x:v>
      </x:c>
      <x:c r="J238" s="13" t="n">
        <x:f>MAX(0,I238-H238)</x:f>
        <x:v>218.1818181818182</x:v>
      </x:c>
      <x:c r="K238" s="13" t="n">
        <x:f>SUMIFS('Cenários de GMD'!$C$4:$C$19,'Cenários de GMD'!$A$4:$A$19,B238,'Cenários de GMD'!$B$4:$B$19,C238)</x:f>
        <x:v>0.3</x:v>
      </x:c>
      <x:c r="L238" s="13" t="n">
        <x:f>IF(J238=0,0,J238/K238)</x:f>
        <x:v>727.2727272727274</x:v>
      </x:c>
      <x:c r="M238" s="13" t="n">
        <x:f>((H238+I238)/2)*SUMIFS('Cenários de GMD'!$D$4:$D$19,'Cenários de GMD'!$A$4:$A$19,B238,'Cenários de GMD'!$B$4:$B$19,C238)</x:f>
        <x:v>0.21818181818181817</x:v>
      </x:c>
      <x:c r="N238" s="13" t="n">
        <x:f>((H238+I238)/2)*SUMIFS('Cenários de GMD'!$E$4:$E$19,'Cenários de GMD'!$A$4:$A$19,B238,'Cenários de GMD'!$B$4:$B$19,C238)</x:f>
        <x:v>0</x:v>
      </x:c>
      <x:c r="O238" s="11" t="n">
        <x:f>M238*Insumos!$E$4+N238*Insumos!$E$5</x:f>
        <x:v>0.6624</x:v>
      </x:c>
      <x:c r="P238" s="11" t="n">
        <x:f>O238*Premissas!$B$7</x:f>
        <x:v>19.872</x:v>
      </x:c>
      <x:c r="Q238" s="11" t="n">
        <x:f>O238*L238</x:f>
        <x:v>481.7454545454546</x:v>
      </x:c>
      <x:c r="R238" s="11" t="n">
        <x:f>Premissas!$B$7*Premissas!$B$8*L238</x:f>
        <x:v>0</x:v>
      </x:c>
      <x:c r="S238" s="11" t="n">
        <x:f>D238*E238</x:f>
        <x:v>3960</x:v>
      </x:c>
      <x:c r="T238" s="11" t="n">
        <x:f>S238*F238</x:f>
        <x:v>0</x:v>
      </x:c>
      <x:c r="U238" s="11" t="n">
        <x:f>S238-XLOOKUP(A238,Lotes!$A$4:$A$8,Lotes!$D$4:$D$8,Premissas!$B$9)-Q238-R238</x:f>
        <x:v>3478.254545454545</x:v>
      </x:c>
      <x:c r="V238" s="11" t="n">
        <x:f>U238*F238</x:f>
        <x:v>0</x:v>
      </x:c>
      <x:c r="W238" s="10" t="n">
        <x:f>IF(S238=0,0,U238/S238)</x:f>
        <x:v>0.8783471074380165</x:v>
      </x:c>
      <x:c r="X238" s="11" t="n">
        <x:f>IF(D238-G238&lt;=0,0,Q238/(D238-G238))</x:f>
        <x:v>60.218181818181826</x:v>
      </x:c>
      <x:c r="Y238" s="10" t="n">
        <x:f>IFERROR(U238/(XLOOKUP(A238,Lotes!$A$4:$A$8,Lotes!$D$4:$D$8,Premissas!$B$9)+Q238+R238),0)</x:f>
        <x:v>7.220108695652173</x:v>
      </x:c>
      <x:c r="Z238" s="10" t="n">
        <x:f>IF(L238=0,Y238,Y238/MAX(1,L238/Premissas!$B$7))</x:f>
        <x:v>0.2978294836956521</x:v>
      </x:c>
      <x:c r="AA238" s="9" t="str">
        <x:f>IF(L238=0,"Venda imediata",IF(L238&lt;=60,"Baixo",IF(L238&lt;=120,"Médio","Alto")))</x:f>
        <x:v>Alto</x:v>
      </x:c>
      <x:c r="AB238" s="9" t="str">
        <x:f>IF(U238&lt;0,"Não fazer",IF(AA238="Alto","Risco seca",IF(Z238&gt;=0.03,"Bom giro","Margem ok")))</x:f>
        <x:v>Risco seca</x:v>
      </x:c>
    </x:row>
    <x:row r="239">
      <x:c r="A239" s="9" t="str">
        <x:v>Bezerras pequenas 4@</x:v>
      </x:c>
      <x:c r="B239" s="9" t="str">
        <x:v>Somente Fortis</x:v>
      </x:c>
      <x:c r="C239" s="9" t="str">
        <x:v>Pasto bom</x:v>
      </x:c>
      <x:c r="D239" s="9" t="n">
        <x:v>8.5</x:v>
      </x:c>
      <x:c r="E239" s="11" t="n">
        <x:f>Premissas!$B$6</x:f>
        <x:v>330</x:v>
      </x:c>
      <x:c r="F239" s="9" t="n">
        <x:f>XLOOKUP(A239,Lotes!$A$4:$A$8,Lotes!$B$4:$B$8,0)</x:f>
        <x:v>0</x:v>
      </x:c>
      <x:c r="G239" s="13" t="n">
        <x:f>XLOOKUP(A239,Lotes!$A$4:$A$8,Lotes!$C$4:$C$8,0)</x:f>
        <x:v>4</x:v>
      </x:c>
      <x:c r="H239" s="13" t="n">
        <x:f>G239*Premissas!$B$5/Premissas!$B$4</x:f>
        <x:v>109.09090909090908</x:v>
      </x:c>
      <x:c r="I239" s="13" t="n">
        <x:f>D239*Premissas!$B$5/Premissas!$B$4</x:f>
        <x:v>231.8181818181818</x:v>
      </x:c>
      <x:c r="J239" s="13" t="n">
        <x:f>MAX(0,I239-H239)</x:f>
        <x:v>122.72727272727273</x:v>
      </x:c>
      <x:c r="K239" s="13" t="n">
        <x:f>SUMIFS('Cenários de GMD'!$C$4:$C$19,'Cenários de GMD'!$A$4:$A$19,B239,'Cenários de GMD'!$B$4:$B$19,C239)</x:f>
        <x:v>0.5</x:v>
      </x:c>
      <x:c r="L239" s="13" t="n">
        <x:f>IF(J239=0,0,J239/K239)</x:f>
        <x:v>245.45454545454547</x:v>
      </x:c>
      <x:c r="M239" s="13" t="n">
        <x:f>((H239+I239)/2)*SUMIFS('Cenários de GMD'!$D$4:$D$19,'Cenários de GMD'!$A$4:$A$19,B239,'Cenários de GMD'!$B$4:$B$19,C239)</x:f>
        <x:v>0.17045454545454544</x:v>
      </x:c>
      <x:c r="N239" s="13" t="n">
        <x:f>((H239+I239)/2)*SUMIFS('Cenários de GMD'!$E$4:$E$19,'Cenários de GMD'!$A$4:$A$19,B239,'Cenários de GMD'!$B$4:$B$19,C239)</x:f>
        <x:v>0</x:v>
      </x:c>
      <x:c r="O239" s="11" t="n">
        <x:f>M239*Insumos!$E$4+N239*Insumos!$E$5</x:f>
        <x:v>0.5175</x:v>
      </x:c>
      <x:c r="P239" s="11" t="n">
        <x:f>O239*Premissas!$B$7</x:f>
        <x:v>15.524999999999999</x:v>
      </x:c>
      <x:c r="Q239" s="11" t="n">
        <x:f>O239*L239</x:f>
        <x:v>127.02272727272727</x:v>
      </x:c>
      <x:c r="R239" s="11" t="n">
        <x:f>Premissas!$B$7*Premissas!$B$8*L239</x:f>
        <x:v>0</x:v>
      </x:c>
      <x:c r="S239" s="11" t="n">
        <x:f>D239*E239</x:f>
        <x:v>2805</x:v>
      </x:c>
      <x:c r="T239" s="11" t="n">
        <x:f>S239*F239</x:f>
        <x:v>0</x:v>
      </x:c>
      <x:c r="U239" s="11" t="n">
        <x:f>S239-XLOOKUP(A239,Lotes!$A$4:$A$8,Lotes!$D$4:$D$8,Premissas!$B$9)-Q239-R239</x:f>
        <x:v>2677.9772727272725</x:v>
      </x:c>
      <x:c r="V239" s="11" t="n">
        <x:f>U239*F239</x:f>
        <x:v>0</x:v>
      </x:c>
      <x:c r="W239" s="10" t="n">
        <x:f>IF(S239=0,0,U239/S239)</x:f>
        <x:v>0.9547156052503646</x:v>
      </x:c>
      <x:c r="X239" s="11" t="n">
        <x:f>IF(D239-G239&lt;=0,0,Q239/(D239-G239))</x:f>
        <x:v>28.227272727272727</x:v>
      </x:c>
      <x:c r="Y239" s="10" t="n">
        <x:f>IFERROR(U239/(XLOOKUP(A239,Lotes!$A$4:$A$8,Lotes!$D$4:$D$8,Premissas!$B$9)+Q239+R239),0)</x:f>
        <x:v>21.082662372517444</x:v>
      </x:c>
      <x:c r="Z239" s="10" t="n">
        <x:f>IF(L239=0,Y239,Y239/MAX(1,L239/Premissas!$B$7))</x:f>
        <x:v>2.5767698455299097</x:v>
      </x:c>
      <x:c r="AA239" s="9" t="str">
        <x:f>IF(L239=0,"Venda imediata",IF(L239&lt;=60,"Baixo",IF(L239&lt;=120,"Médio","Alto")))</x:f>
        <x:v>Alto</x:v>
      </x:c>
      <x:c r="AB239" s="9" t="str">
        <x:f>IF(U239&lt;0,"Não fazer",IF(AA239="Alto","Risco seca",IF(Z239&gt;=0.03,"Bom giro","Margem ok")))</x:f>
        <x:v>Risco seca</x:v>
      </x:c>
    </x:row>
    <x:row r="240">
      <x:c r="A240" s="9" t="str">
        <x:v>Bezerras pequenas 4@</x:v>
      </x:c>
      <x:c r="B240" s="9" t="str">
        <x:v>Somente Fortis</x:v>
      </x:c>
      <x:c r="C240" s="9" t="str">
        <x:v>Pasto bom</x:v>
      </x:c>
      <x:c r="D240" s="9" t="n">
        <x:v>9</x:v>
      </x:c>
      <x:c r="E240" s="11" t="n">
        <x:f>Premissas!$B$6</x:f>
        <x:v>330</x:v>
      </x:c>
      <x:c r="F240" s="9" t="n">
        <x:f>XLOOKUP(A240,Lotes!$A$4:$A$8,Lotes!$B$4:$B$8,0)</x:f>
        <x:v>0</x:v>
      </x:c>
      <x:c r="G240" s="13" t="n">
        <x:f>XLOOKUP(A240,Lotes!$A$4:$A$8,Lotes!$C$4:$C$8,0)</x:f>
        <x:v>4</x:v>
      </x:c>
      <x:c r="H240" s="13" t="n">
        <x:f>G240*Premissas!$B$5/Premissas!$B$4</x:f>
        <x:v>109.09090909090908</x:v>
      </x:c>
      <x:c r="I240" s="13" t="n">
        <x:f>D240*Premissas!$B$5/Premissas!$B$4</x:f>
        <x:v>245.45454545454544</x:v>
      </x:c>
      <x:c r="J240" s="13" t="n">
        <x:f>MAX(0,I240-H240)</x:f>
        <x:v>136.36363636363637</x:v>
      </x:c>
      <x:c r="K240" s="13" t="n">
        <x:f>SUMIFS('Cenários de GMD'!$C$4:$C$19,'Cenários de GMD'!$A$4:$A$19,B240,'Cenários de GMD'!$B$4:$B$19,C240)</x:f>
        <x:v>0.5</x:v>
      </x:c>
      <x:c r="L240" s="13" t="n">
        <x:f>IF(J240=0,0,J240/K240)</x:f>
        <x:v>272.72727272727275</x:v>
      </x:c>
      <x:c r="M240" s="13" t="n">
        <x:f>((H240+I240)/2)*SUMIFS('Cenários de GMD'!$D$4:$D$19,'Cenários de GMD'!$A$4:$A$19,B240,'Cenários de GMD'!$B$4:$B$19,C240)</x:f>
        <x:v>0.17727272727272725</x:v>
      </x:c>
      <x:c r="N240" s="13" t="n">
        <x:f>((H240+I240)/2)*SUMIFS('Cenários de GMD'!$E$4:$E$19,'Cenários de GMD'!$A$4:$A$19,B240,'Cenários de GMD'!$B$4:$B$19,C240)</x:f>
        <x:v>0</x:v>
      </x:c>
      <x:c r="O240" s="11" t="n">
        <x:f>M240*Insumos!$E$4+N240*Insumos!$E$5</x:f>
        <x:v>0.5381999999999999</x:v>
      </x:c>
      <x:c r="P240" s="11" t="n">
        <x:f>O240*Premissas!$B$7</x:f>
        <x:v>16.145999999999997</x:v>
      </x:c>
      <x:c r="Q240" s="11" t="n">
        <x:f>O240*L240</x:f>
        <x:v>146.78181818181815</x:v>
      </x:c>
      <x:c r="R240" s="11" t="n">
        <x:f>Premissas!$B$7*Premissas!$B$8*L240</x:f>
        <x:v>0</x:v>
      </x:c>
      <x:c r="S240" s="11" t="n">
        <x:f>D240*E240</x:f>
        <x:v>2970</x:v>
      </x:c>
      <x:c r="T240" s="11" t="n">
        <x:f>S240*F240</x:f>
        <x:v>0</x:v>
      </x:c>
      <x:c r="U240" s="11" t="n">
        <x:f>S240-XLOOKUP(A240,Lotes!$A$4:$A$8,Lotes!$D$4:$D$8,Premissas!$B$9)-Q240-R240</x:f>
        <x:v>2823.2181818181816</x:v>
      </x:c>
      <x:c r="V240" s="11" t="n">
        <x:f>U240*F240</x:f>
        <x:v>0</x:v>
      </x:c>
      <x:c r="W240" s="10" t="n">
        <x:f>IF(S240=0,0,U240/S240)</x:f>
        <x:v>0.9505785123966941</x:v>
      </x:c>
      <x:c r="X240" s="11" t="n">
        <x:f>IF(D240-G240&lt;=0,0,Q240/(D240-G240))</x:f>
        <x:v>29.356363636363632</x:v>
      </x:c>
      <x:c r="Y240" s="10" t="n">
        <x:f>IFERROR(U240/(XLOOKUP(A240,Lotes!$A$4:$A$8,Lotes!$D$4:$D$8,Premissas!$B$9)+Q240+R240),0)</x:f>
        <x:v>19.234113712374583</x:v>
      </x:c>
      <x:c r="Z240" s="10" t="n">
        <x:f>IF(L240=0,Y240,Y240/MAX(1,L240/Premissas!$B$7))</x:f>
        <x:v>2.115752508361204</x:v>
      </x:c>
      <x:c r="AA240" s="9" t="str">
        <x:f>IF(L240=0,"Venda imediata",IF(L240&lt;=60,"Baixo",IF(L240&lt;=120,"Médio","Alto")))</x:f>
        <x:v>Alto</x:v>
      </x:c>
      <x:c r="AB240" s="9" t="str">
        <x:f>IF(U240&lt;0,"Não fazer",IF(AA240="Alto","Risco seca",IF(Z240&gt;=0.03,"Bom giro","Margem ok")))</x:f>
        <x:v>Risco seca</x:v>
      </x:c>
    </x:row>
    <x:row r="241">
      <x:c r="A241" s="9" t="str">
        <x:v>Bezerras pequenas 4@</x:v>
      </x:c>
      <x:c r="B241" s="9" t="str">
        <x:v>Somente Fortis</x:v>
      </x:c>
      <x:c r="C241" s="9" t="str">
        <x:v>Pasto bom</x:v>
      </x:c>
      <x:c r="D241" s="9" t="n">
        <x:v>10.5</x:v>
      </x:c>
      <x:c r="E241" s="11" t="n">
        <x:f>Premissas!$B$6</x:f>
        <x:v>330</x:v>
      </x:c>
      <x:c r="F241" s="9" t="n">
        <x:f>XLOOKUP(A241,Lotes!$A$4:$A$8,Lotes!$B$4:$B$8,0)</x:f>
        <x:v>0</x:v>
      </x:c>
      <x:c r="G241" s="13" t="n">
        <x:f>XLOOKUP(A241,Lotes!$A$4:$A$8,Lotes!$C$4:$C$8,0)</x:f>
        <x:v>4</x:v>
      </x:c>
      <x:c r="H241" s="13" t="n">
        <x:f>G241*Premissas!$B$5/Premissas!$B$4</x:f>
        <x:v>109.09090909090908</x:v>
      </x:c>
      <x:c r="I241" s="13" t="n">
        <x:f>D241*Premissas!$B$5/Premissas!$B$4</x:f>
        <x:v>286.3636363636363</x:v>
      </x:c>
      <x:c r="J241" s="13" t="n">
        <x:f>MAX(0,I241-H241)</x:f>
        <x:v>177.27272727272725</x:v>
      </x:c>
      <x:c r="K241" s="13" t="n">
        <x:f>SUMIFS('Cenários de GMD'!$C$4:$C$19,'Cenários de GMD'!$A$4:$A$19,B241,'Cenários de GMD'!$B$4:$B$19,C241)</x:f>
        <x:v>0.5</x:v>
      </x:c>
      <x:c r="L241" s="13" t="n">
        <x:f>IF(J241=0,0,J241/K241)</x:f>
        <x:v>354.5454545454545</x:v>
      </x:c>
      <x:c r="M241" s="13" t="n">
        <x:f>((H241+I241)/2)*SUMIFS('Cenários de GMD'!$D$4:$D$19,'Cenários de GMD'!$A$4:$A$19,B241,'Cenários de GMD'!$B$4:$B$19,C241)</x:f>
        <x:v>0.1977272727272727</x:v>
      </x:c>
      <x:c r="N241" s="13" t="n">
        <x:f>((H241+I241)/2)*SUMIFS('Cenários de GMD'!$E$4:$E$19,'Cenários de GMD'!$A$4:$A$19,B241,'Cenários de GMD'!$B$4:$B$19,C241)</x:f>
        <x:v>0</x:v>
      </x:c>
      <x:c r="O241" s="11" t="n">
        <x:f>M241*Insumos!$E$4+N241*Insumos!$E$5</x:f>
        <x:v>0.6003</x:v>
      </x:c>
      <x:c r="P241" s="11" t="n">
        <x:f>O241*Premissas!$B$7</x:f>
        <x:v>18.008999999999997</x:v>
      </x:c>
      <x:c r="Q241" s="11" t="n">
        <x:f>O241*L241</x:f>
        <x:v>212.83363636363632</x:v>
      </x:c>
      <x:c r="R241" s="11" t="n">
        <x:f>Premissas!$B$7*Premissas!$B$8*L241</x:f>
        <x:v>0</x:v>
      </x:c>
      <x:c r="S241" s="11" t="n">
        <x:f>D241*E241</x:f>
        <x:v>3465</x:v>
      </x:c>
      <x:c r="T241" s="11" t="n">
        <x:f>S241*F241</x:f>
        <x:v>0</x:v>
      </x:c>
      <x:c r="U241" s="11" t="n">
        <x:f>S241-XLOOKUP(A241,Lotes!$A$4:$A$8,Lotes!$D$4:$D$8,Premissas!$B$9)-Q241-R241</x:f>
        <x:v>3252.1663636363637</x:v>
      </x:c>
      <x:c r="V241" s="11" t="n">
        <x:f>U241*F241</x:f>
        <x:v>0</x:v>
      </x:c>
      <x:c r="W241" s="10" t="n">
        <x:f>IF(S241=0,0,U241/S241)</x:f>
        <x:v>0.9385761511216056</x:v>
      </x:c>
      <x:c r="X241" s="11" t="n">
        <x:f>IF(D241-G241&lt;=0,0,Q241/(D241-G241))</x:f>
        <x:v>32.743636363636355</x:v>
      </x:c>
      <x:c r="Y241" s="10" t="n">
        <x:f>IFERROR(U241/(XLOOKUP(A241,Lotes!$A$4:$A$8,Lotes!$D$4:$D$8,Premissas!$B$9)+Q241+R241),0)</x:f>
        <x:v>15.280321377772657</x:v>
      </x:c>
      <x:c r="Z241" s="10" t="n">
        <x:f>IF(L241=0,Y241,Y241/MAX(1,L241/Premissas!$B$7))</x:f>
        <x:v>1.2929502704269173</x:v>
      </x:c>
      <x:c r="AA241" s="9" t="str">
        <x:f>IF(L241=0,"Venda imediata",IF(L241&lt;=60,"Baixo",IF(L241&lt;=120,"Médio","Alto")))</x:f>
        <x:v>Alto</x:v>
      </x:c>
      <x:c r="AB241" s="9" t="str">
        <x:f>IF(U241&lt;0,"Não fazer",IF(AA241="Alto","Risco seca",IF(Z241&gt;=0.03,"Bom giro","Margem ok")))</x:f>
        <x:v>Risco seca</x:v>
      </x:c>
    </x:row>
    <x:row r="242">
      <x:c r="A242" s="9" t="str">
        <x:v>Bezerras pequenas 4@</x:v>
      </x:c>
      <x:c r="B242" s="9" t="str">
        <x:v>Somente Fortis</x:v>
      </x:c>
      <x:c r="C242" s="9" t="str">
        <x:v>Pasto bom</x:v>
      </x:c>
      <x:c r="D242" s="9" t="n">
        <x:v>11</x:v>
      </x:c>
      <x:c r="E242" s="11" t="n">
        <x:f>Premissas!$B$6</x:f>
        <x:v>330</x:v>
      </x:c>
      <x:c r="F242" s="9" t="n">
        <x:f>XLOOKUP(A242,Lotes!$A$4:$A$8,Lotes!$B$4:$B$8,0)</x:f>
        <x:v>0</x:v>
      </x:c>
      <x:c r="G242" s="13" t="n">
        <x:f>XLOOKUP(A242,Lotes!$A$4:$A$8,Lotes!$C$4:$C$8,0)</x:f>
        <x:v>4</x:v>
      </x:c>
      <x:c r="H242" s="13" t="n">
        <x:f>G242*Premissas!$B$5/Premissas!$B$4</x:f>
        <x:v>109.09090909090908</x:v>
      </x:c>
      <x:c r="I242" s="13" t="n">
        <x:f>D242*Premissas!$B$5/Premissas!$B$4</x:f>
        <x:v>300</x:v>
      </x:c>
      <x:c r="J242" s="13" t="n">
        <x:f>MAX(0,I242-H242)</x:f>
        <x:v>190.90909090909093</x:v>
      </x:c>
      <x:c r="K242" s="13" t="n">
        <x:f>SUMIFS('Cenários de GMD'!$C$4:$C$19,'Cenários de GMD'!$A$4:$A$19,B242,'Cenários de GMD'!$B$4:$B$19,C242)</x:f>
        <x:v>0.5</x:v>
      </x:c>
      <x:c r="L242" s="13" t="n">
        <x:f>IF(J242=0,0,J242/K242)</x:f>
        <x:v>381.81818181818187</x:v>
      </x:c>
      <x:c r="M242" s="13" t="n">
        <x:f>((H242+I242)/2)*SUMIFS('Cenários de GMD'!$D$4:$D$19,'Cenários de GMD'!$A$4:$A$19,B242,'Cenários de GMD'!$B$4:$B$19,C242)</x:f>
        <x:v>0.20454545454545453</x:v>
      </x:c>
      <x:c r="N242" s="13" t="n">
        <x:f>((H242+I242)/2)*SUMIFS('Cenários de GMD'!$E$4:$E$19,'Cenários de GMD'!$A$4:$A$19,B242,'Cenários de GMD'!$B$4:$B$19,C242)</x:f>
        <x:v>0</x:v>
      </x:c>
      <x:c r="O242" s="11" t="n">
        <x:f>M242*Insumos!$E$4+N242*Insumos!$E$5</x:f>
        <x:v>0.621</x:v>
      </x:c>
      <x:c r="P242" s="11" t="n">
        <x:f>O242*Premissas!$B$7</x:f>
        <x:v>18.63</x:v>
      </x:c>
      <x:c r="Q242" s="11" t="n">
        <x:f>O242*L242</x:f>
        <x:v>237.10909090909095</x:v>
      </x:c>
      <x:c r="R242" s="11" t="n">
        <x:f>Premissas!$B$7*Premissas!$B$8*L242</x:f>
        <x:v>0</x:v>
      </x:c>
      <x:c r="S242" s="11" t="n">
        <x:f>D242*E242</x:f>
        <x:v>3630</x:v>
      </x:c>
      <x:c r="T242" s="11" t="n">
        <x:f>S242*F242</x:f>
        <x:v>0</x:v>
      </x:c>
      <x:c r="U242" s="11" t="n">
        <x:f>S242-XLOOKUP(A242,Lotes!$A$4:$A$8,Lotes!$D$4:$D$8,Premissas!$B$9)-Q242-R242</x:f>
        <x:v>3392.890909090909</x:v>
      </x:c>
      <x:c r="V242" s="11" t="n">
        <x:f>U242*F242</x:f>
        <x:v>0</x:v>
      </x:c>
      <x:c r="W242" s="10" t="n">
        <x:f>IF(S242=0,0,U242/S242)</x:f>
        <x:v>0.9346806912096168</x:v>
      </x:c>
      <x:c r="X242" s="11" t="n">
        <x:f>IF(D242-G242&lt;=0,0,Q242/(D242-G242))</x:f>
        <x:v>33.87272727272728</x:v>
      </x:c>
      <x:c r="Y242" s="10" t="n">
        <x:f>IFERROR(U242/(XLOOKUP(A242,Lotes!$A$4:$A$8,Lotes!$D$4:$D$8,Premissas!$B$9)+Q242+R242),0)</x:f>
        <x:v>14.309408787669655</x:v>
      </x:c>
      <x:c r="Z242" s="10" t="n">
        <x:f>IF(L242=0,Y242,Y242/MAX(1,L242/Premissas!$B$7))</x:f>
        <x:v>1.1243106904597586</x:v>
      </x:c>
      <x:c r="AA242" s="9" t="str">
        <x:f>IF(L242=0,"Venda imediata",IF(L242&lt;=60,"Baixo",IF(L242&lt;=120,"Médio","Alto")))</x:f>
        <x:v>Alto</x:v>
      </x:c>
      <x:c r="AB242" s="9" t="str">
        <x:f>IF(U242&lt;0,"Não fazer",IF(AA242="Alto","Risco seca",IF(Z242&gt;=0.03,"Bom giro","Margem ok")))</x:f>
        <x:v>Risco seca</x:v>
      </x:c>
    </x:row>
    <x:row r="243">
      <x:c r="A243" s="9" t="str">
        <x:v>Bezerras pequenas 4@</x:v>
      </x:c>
      <x:c r="B243" s="9" t="str">
        <x:v>Somente Fortis</x:v>
      </x:c>
      <x:c r="C243" s="9" t="str">
        <x:v>Pasto bom</x:v>
      </x:c>
      <x:c r="D243" s="9" t="n">
        <x:v>12</x:v>
      </x:c>
      <x:c r="E243" s="11" t="n">
        <x:f>Premissas!$B$6</x:f>
        <x:v>330</x:v>
      </x:c>
      <x:c r="F243" s="9" t="n">
        <x:f>XLOOKUP(A243,Lotes!$A$4:$A$8,Lotes!$B$4:$B$8,0)</x:f>
        <x:v>0</x:v>
      </x:c>
      <x:c r="G243" s="13" t="n">
        <x:f>XLOOKUP(A243,Lotes!$A$4:$A$8,Lotes!$C$4:$C$8,0)</x:f>
        <x:v>4</x:v>
      </x:c>
      <x:c r="H243" s="13" t="n">
        <x:f>G243*Premissas!$B$5/Premissas!$B$4</x:f>
        <x:v>109.09090909090908</x:v>
      </x:c>
      <x:c r="I243" s="13" t="n">
        <x:f>D243*Premissas!$B$5/Premissas!$B$4</x:f>
        <x:v>327.27272727272725</x:v>
      </x:c>
      <x:c r="J243" s="13" t="n">
        <x:f>MAX(0,I243-H243)</x:f>
        <x:v>218.1818181818182</x:v>
      </x:c>
      <x:c r="K243" s="13" t="n">
        <x:f>SUMIFS('Cenários de GMD'!$C$4:$C$19,'Cenários de GMD'!$A$4:$A$19,B243,'Cenários de GMD'!$B$4:$B$19,C243)</x:f>
        <x:v>0.5</x:v>
      </x:c>
      <x:c r="L243" s="13" t="n">
        <x:f>IF(J243=0,0,J243/K243)</x:f>
        <x:v>436.3636363636364</x:v>
      </x:c>
      <x:c r="M243" s="13" t="n">
        <x:f>((H243+I243)/2)*SUMIFS('Cenários de GMD'!$D$4:$D$19,'Cenários de GMD'!$A$4:$A$19,B243,'Cenários de GMD'!$B$4:$B$19,C243)</x:f>
        <x:v>0.21818181818181817</x:v>
      </x:c>
      <x:c r="N243" s="13" t="n">
        <x:f>((H243+I243)/2)*SUMIFS('Cenários de GMD'!$E$4:$E$19,'Cenários de GMD'!$A$4:$A$19,B243,'Cenários de GMD'!$B$4:$B$19,C243)</x:f>
        <x:v>0</x:v>
      </x:c>
      <x:c r="O243" s="11" t="n">
        <x:f>M243*Insumos!$E$4+N243*Insumos!$E$5</x:f>
        <x:v>0.6624</x:v>
      </x:c>
      <x:c r="P243" s="11" t="n">
        <x:f>O243*Premissas!$B$7</x:f>
        <x:v>19.872</x:v>
      </x:c>
      <x:c r="Q243" s="11" t="n">
        <x:f>O243*L243</x:f>
        <x:v>289.04727272727274</x:v>
      </x:c>
      <x:c r="R243" s="11" t="n">
        <x:f>Premissas!$B$7*Premissas!$B$8*L243</x:f>
        <x:v>0</x:v>
      </x:c>
      <x:c r="S243" s="11" t="n">
        <x:f>D243*E243</x:f>
        <x:v>3960</x:v>
      </x:c>
      <x:c r="T243" s="11" t="n">
        <x:f>S243*F243</x:f>
        <x:v>0</x:v>
      </x:c>
      <x:c r="U243" s="11" t="n">
        <x:f>S243-XLOOKUP(A243,Lotes!$A$4:$A$8,Lotes!$D$4:$D$8,Premissas!$B$9)-Q243-R243</x:f>
        <x:v>3670.9527272727273</x:v>
      </x:c>
      <x:c r="V243" s="11" t="n">
        <x:f>U243*F243</x:f>
        <x:v>0</x:v>
      </x:c>
      <x:c r="W243" s="10" t="n">
        <x:f>IF(S243=0,0,U243/S243)</x:f>
        <x:v>0.9270082644628099</x:v>
      </x:c>
      <x:c r="X243" s="11" t="n">
        <x:f>IF(D243-G243&lt;=0,0,Q243/(D243-G243))</x:f>
        <x:v>36.13090909090909</x:v>
      </x:c>
      <x:c r="Y243" s="10" t="n">
        <x:f>IFERROR(U243/(XLOOKUP(A243,Lotes!$A$4:$A$8,Lotes!$D$4:$D$8,Premissas!$B$9)+Q243+R243),0)</x:f>
        <x:v>12.70018115942029</x:v>
      </x:c>
      <x:c r="Z243" s="10" t="n">
        <x:f>IF(L243=0,Y243,Y243/MAX(1,L243/Premissas!$B$7))</x:f>
        <x:v>0.8731374547101449</x:v>
      </x:c>
      <x:c r="AA243" s="9" t="str">
        <x:f>IF(L243=0,"Venda imediata",IF(L243&lt;=60,"Baixo",IF(L243&lt;=120,"Médio","Alto")))</x:f>
        <x:v>Alto</x:v>
      </x:c>
      <x:c r="AB243" s="9" t="str">
        <x:f>IF(U243&lt;0,"Não fazer",IF(AA243="Alto","Risco seca",IF(Z243&gt;=0.03,"Bom giro","Margem ok")))</x:f>
        <x:v>Risco seca</x:v>
      </x:c>
    </x:row>
    <x:row r="244">
      <x:c r="A244" s="9" t="str">
        <x:v>Bezerras pequenas 4@</x:v>
      </x:c>
      <x:c r="B244" s="9" t="str">
        <x:v>Econômica</x:v>
      </x:c>
      <x:c r="C244" s="9" t="str">
        <x:v>Conservador</x:v>
      </x:c>
      <x:c r="D244" s="9" t="n">
        <x:v>8.5</x:v>
      </x:c>
      <x:c r="E244" s="11" t="n">
        <x:f>Premissas!$B$6</x:f>
        <x:v>330</x:v>
      </x:c>
      <x:c r="F244" s="9" t="n">
        <x:f>XLOOKUP(A244,Lotes!$A$4:$A$8,Lotes!$B$4:$B$8,0)</x:f>
        <x:v>0</x:v>
      </x:c>
      <x:c r="G244" s="13" t="n">
        <x:f>XLOOKUP(A244,Lotes!$A$4:$A$8,Lotes!$C$4:$C$8,0)</x:f>
        <x:v>4</x:v>
      </x:c>
      <x:c r="H244" s="13" t="n">
        <x:f>G244*Premissas!$B$5/Premissas!$B$4</x:f>
        <x:v>109.09090909090908</x:v>
      </x:c>
      <x:c r="I244" s="13" t="n">
        <x:f>D244*Premissas!$B$5/Premissas!$B$4</x:f>
        <x:v>231.8181818181818</x:v>
      </x:c>
      <x:c r="J244" s="13" t="n">
        <x:f>MAX(0,I244-H244)</x:f>
        <x:v>122.72727272727273</x:v>
      </x:c>
      <x:c r="K244" s="13" t="n">
        <x:f>SUMIFS('Cenários de GMD'!$C$4:$C$19,'Cenários de GMD'!$A$4:$A$19,B244,'Cenários de GMD'!$B$4:$B$19,C244)</x:f>
        <x:v>0.4</x:v>
      </x:c>
      <x:c r="L244" s="13" t="n">
        <x:f>IF(J244=0,0,J244/K244)</x:f>
        <x:v>306.8181818181818</x:v>
      </x:c>
      <x:c r="M244" s="13" t="n">
        <x:f>((H244+I244)/2)*SUMIFS('Cenários de GMD'!$D$4:$D$19,'Cenários de GMD'!$A$4:$A$19,B244,'Cenários de GMD'!$B$4:$B$19,C244)</x:f>
        <x:v>0.17045454545454544</x:v>
      </x:c>
      <x:c r="N244" s="13" t="n">
        <x:f>((H244+I244)/2)*SUMIFS('Cenários de GMD'!$E$4:$E$19,'Cenários de GMD'!$A$4:$A$19,B244,'Cenários de GMD'!$B$4:$B$19,C244)</x:f>
        <x:v>0.5113636363636364</x:v>
      </x:c>
      <x:c r="O244" s="11" t="n">
        <x:f>M244*Insumos!$E$4+N244*Insumos!$E$5</x:f>
        <x:v>1.5317045454545455</x:v>
      </x:c>
      <x:c r="P244" s="11" t="n">
        <x:f>O244*Premissas!$B$7</x:f>
        <x:v>45.951136363636365</x:v>
      </x:c>
      <x:c r="Q244" s="11" t="n">
        <x:f>O244*L244</x:f>
        <x:v>469.9548037190083</x:v>
      </x:c>
      <x:c r="R244" s="11" t="n">
        <x:f>Premissas!$B$7*Premissas!$B$8*L244</x:f>
        <x:v>0</x:v>
      </x:c>
      <x:c r="S244" s="11" t="n">
        <x:f>D244*E244</x:f>
        <x:v>2805</x:v>
      </x:c>
      <x:c r="T244" s="11" t="n">
        <x:f>S244*F244</x:f>
        <x:v>0</x:v>
      </x:c>
      <x:c r="U244" s="11" t="n">
        <x:f>S244-XLOOKUP(A244,Lotes!$A$4:$A$8,Lotes!$D$4:$D$8,Premissas!$B$9)-Q244-R244</x:f>
        <x:v>2335.0451962809916</x:v>
      </x:c>
      <x:c r="V244" s="11" t="n">
        <x:f>U244*F244</x:f>
        <x:v>0</x:v>
      </x:c>
      <x:c r="W244" s="10" t="n">
        <x:f>IF(S244=0,0,U244/S244)</x:f>
        <x:v>0.8324581804923321</x:v>
      </x:c>
      <x:c r="X244" s="11" t="n">
        <x:f>IF(D244-G244&lt;=0,0,Q244/(D244-G244))</x:f>
        <x:v>104.43440082644628</x:v>
      </x:c>
      <x:c r="Y244" s="10" t="n">
        <x:f>IFERROR(U244/(XLOOKUP(A244,Lotes!$A$4:$A$8,Lotes!$D$4:$D$8,Premissas!$B$9)+Q244+R244),0)</x:f>
        <x:v>4.968659066366611</x:v>
      </x:c>
      <x:c r="Z244" s="10" t="n">
        <x:f>IF(L244=0,Y244,Y244/MAX(1,L244/Premissas!$B$7))</x:f>
        <x:v>0.4858244420447353</x:v>
      </x:c>
      <x:c r="AA244" s="9" t="str">
        <x:f>IF(L244=0,"Venda imediata",IF(L244&lt;=60,"Baixo",IF(L244&lt;=120,"Médio","Alto")))</x:f>
        <x:v>Alto</x:v>
      </x:c>
      <x:c r="AB244" s="9" t="str">
        <x:f>IF(U244&lt;0,"Não fazer",IF(AA244="Alto","Risco seca",IF(Z244&gt;=0.03,"Bom giro","Margem ok")))</x:f>
        <x:v>Risco seca</x:v>
      </x:c>
    </x:row>
    <x:row r="245">
      <x:c r="A245" s="9" t="str">
        <x:v>Bezerras pequenas 4@</x:v>
      </x:c>
      <x:c r="B245" s="9" t="str">
        <x:v>Econômica</x:v>
      </x:c>
      <x:c r="C245" s="9" t="str">
        <x:v>Conservador</x:v>
      </x:c>
      <x:c r="D245" s="9" t="n">
        <x:v>9</x:v>
      </x:c>
      <x:c r="E245" s="11" t="n">
        <x:f>Premissas!$B$6</x:f>
        <x:v>330</x:v>
      </x:c>
      <x:c r="F245" s="9" t="n">
        <x:f>XLOOKUP(A245,Lotes!$A$4:$A$8,Lotes!$B$4:$B$8,0)</x:f>
        <x:v>0</x:v>
      </x:c>
      <x:c r="G245" s="13" t="n">
        <x:f>XLOOKUP(A245,Lotes!$A$4:$A$8,Lotes!$C$4:$C$8,0)</x:f>
        <x:v>4</x:v>
      </x:c>
      <x:c r="H245" s="13" t="n">
        <x:f>G245*Premissas!$B$5/Premissas!$B$4</x:f>
        <x:v>109.09090909090908</x:v>
      </x:c>
      <x:c r="I245" s="13" t="n">
        <x:f>D245*Premissas!$B$5/Premissas!$B$4</x:f>
        <x:v>245.45454545454544</x:v>
      </x:c>
      <x:c r="J245" s="13" t="n">
        <x:f>MAX(0,I245-H245)</x:f>
        <x:v>136.36363636363637</x:v>
      </x:c>
      <x:c r="K245" s="13" t="n">
        <x:f>SUMIFS('Cenários de GMD'!$C$4:$C$19,'Cenários de GMD'!$A$4:$A$19,B245,'Cenários de GMD'!$B$4:$B$19,C245)</x:f>
        <x:v>0.4</x:v>
      </x:c>
      <x:c r="L245" s="13" t="n">
        <x:f>IF(J245=0,0,J245/K245)</x:f>
        <x:v>340.90909090909093</x:v>
      </x:c>
      <x:c r="M245" s="13" t="n">
        <x:f>((H245+I245)/2)*SUMIFS('Cenários de GMD'!$D$4:$D$19,'Cenários de GMD'!$A$4:$A$19,B245,'Cenários de GMD'!$B$4:$B$19,C245)</x:f>
        <x:v>0.17727272727272725</x:v>
      </x:c>
      <x:c r="N245" s="13" t="n">
        <x:f>((H245+I245)/2)*SUMIFS('Cenários de GMD'!$E$4:$E$19,'Cenários de GMD'!$A$4:$A$19,B245,'Cenários de GMD'!$B$4:$B$19,C245)</x:f>
        <x:v>0.5318181818181817</x:v>
      </x:c>
      <x:c r="O245" s="11" t="n">
        <x:f>M245*Insumos!$E$4+N245*Insumos!$E$5</x:f>
        <x:v>1.592972727272727</x:v>
      </x:c>
      <x:c r="P245" s="11" t="n">
        <x:f>O245*Premissas!$B$7</x:f>
        <x:v>47.78918181818181</x:v>
      </x:c>
      <x:c r="Q245" s="11" t="n">
        <x:f>O245*L245</x:f>
        <x:v>543.0588842975206</x:v>
      </x:c>
      <x:c r="R245" s="11" t="n">
        <x:f>Premissas!$B$7*Premissas!$B$8*L245</x:f>
        <x:v>0</x:v>
      </x:c>
      <x:c r="S245" s="11" t="n">
        <x:f>D245*E245</x:f>
        <x:v>2970</x:v>
      </x:c>
      <x:c r="T245" s="11" t="n">
        <x:f>S245*F245</x:f>
        <x:v>0</x:v>
      </x:c>
      <x:c r="U245" s="11" t="n">
        <x:f>S245-XLOOKUP(A245,Lotes!$A$4:$A$8,Lotes!$D$4:$D$8,Premissas!$B$9)-Q245-R245</x:f>
        <x:v>2426.9411157024792</x:v>
      </x:c>
      <x:c r="V245" s="11" t="n">
        <x:f>U245*F245</x:f>
        <x:v>0</x:v>
      </x:c>
      <x:c r="W245" s="10" t="n">
        <x:f>IF(S245=0,0,U245/S245)</x:f>
        <x:v>0.8171518908089156</x:v>
      </x:c>
      <x:c r="X245" s="11" t="n">
        <x:f>IF(D245-G245&lt;=0,0,Q245/(D245-G245))</x:f>
        <x:v>108.61177685950413</x:v>
      </x:c>
      <x:c r="Y245" s="10" t="n">
        <x:f>IFERROR(U245/(XLOOKUP(A245,Lotes!$A$4:$A$8,Lotes!$D$4:$D$8,Premissas!$B$9)+Q245+R245),0)</x:f>
        <x:v>4.469020185245425</x:v>
      </x:c>
      <x:c r="Z245" s="10" t="n">
        <x:f>IF(L245=0,Y245,Y245/MAX(1,L245/Premissas!$B$7))</x:f>
        <x:v>0.3932737763015973</x:v>
      </x:c>
      <x:c r="AA245" s="9" t="str">
        <x:f>IF(L245=0,"Venda imediata",IF(L245&lt;=60,"Baixo",IF(L245&lt;=120,"Médio","Alto")))</x:f>
        <x:v>Alto</x:v>
      </x:c>
      <x:c r="AB245" s="9" t="str">
        <x:f>IF(U245&lt;0,"Não fazer",IF(AA245="Alto","Risco seca",IF(Z245&gt;=0.03,"Bom giro","Margem ok")))</x:f>
        <x:v>Risco seca</x:v>
      </x:c>
    </x:row>
    <x:row r="246">
      <x:c r="A246" s="9" t="str">
        <x:v>Bezerras pequenas 4@</x:v>
      </x:c>
      <x:c r="B246" s="9" t="str">
        <x:v>Econômica</x:v>
      </x:c>
      <x:c r="C246" s="9" t="str">
        <x:v>Conservador</x:v>
      </x:c>
      <x:c r="D246" s="9" t="n">
        <x:v>10.5</x:v>
      </x:c>
      <x:c r="E246" s="11" t="n">
        <x:f>Premissas!$B$6</x:f>
        <x:v>330</x:v>
      </x:c>
      <x:c r="F246" s="9" t="n">
        <x:f>XLOOKUP(A246,Lotes!$A$4:$A$8,Lotes!$B$4:$B$8,0)</x:f>
        <x:v>0</x:v>
      </x:c>
      <x:c r="G246" s="13" t="n">
        <x:f>XLOOKUP(A246,Lotes!$A$4:$A$8,Lotes!$C$4:$C$8,0)</x:f>
        <x:v>4</x:v>
      </x:c>
      <x:c r="H246" s="13" t="n">
        <x:f>G246*Premissas!$B$5/Premissas!$B$4</x:f>
        <x:v>109.09090909090908</x:v>
      </x:c>
      <x:c r="I246" s="13" t="n">
        <x:f>D246*Premissas!$B$5/Premissas!$B$4</x:f>
        <x:v>286.3636363636363</x:v>
      </x:c>
      <x:c r="J246" s="13" t="n">
        <x:f>MAX(0,I246-H246)</x:f>
        <x:v>177.27272727272725</x:v>
      </x:c>
      <x:c r="K246" s="13" t="n">
        <x:f>SUMIFS('Cenários de GMD'!$C$4:$C$19,'Cenários de GMD'!$A$4:$A$19,B246,'Cenários de GMD'!$B$4:$B$19,C246)</x:f>
        <x:v>0.4</x:v>
      </x:c>
      <x:c r="L246" s="13" t="n">
        <x:f>IF(J246=0,0,J246/K246)</x:f>
        <x:v>443.18181818181813</x:v>
      </x:c>
      <x:c r="M246" s="13" t="n">
        <x:f>((H246+I246)/2)*SUMIFS('Cenários de GMD'!$D$4:$D$19,'Cenários de GMD'!$A$4:$A$19,B246,'Cenários de GMD'!$B$4:$B$19,C246)</x:f>
        <x:v>0.1977272727272727</x:v>
      </x:c>
      <x:c r="N246" s="13" t="n">
        <x:f>((H246+I246)/2)*SUMIFS('Cenários de GMD'!$E$4:$E$19,'Cenários de GMD'!$A$4:$A$19,B246,'Cenários de GMD'!$B$4:$B$19,C246)</x:f>
        <x:v>0.593181818181818</x:v>
      </x:c>
      <x:c r="O246" s="11" t="n">
        <x:f>M246*Insumos!$E$4+N246*Insumos!$E$5</x:f>
        <x:v>1.7767772727272724</x:v>
      </x:c>
      <x:c r="P246" s="11" t="n">
        <x:f>O246*Premissas!$B$7</x:f>
        <x:v>53.30331818181817</x:v>
      </x:c>
      <x:c r="Q246" s="11" t="n">
        <x:f>O246*L246</x:f>
        <x:v>787.4353822314047</x:v>
      </x:c>
      <x:c r="R246" s="11" t="n">
        <x:f>Premissas!$B$7*Premissas!$B$8*L246</x:f>
        <x:v>0</x:v>
      </x:c>
      <x:c r="S246" s="11" t="n">
        <x:f>D246*E246</x:f>
        <x:v>3465</x:v>
      </x:c>
      <x:c r="T246" s="11" t="n">
        <x:f>S246*F246</x:f>
        <x:v>0</x:v>
      </x:c>
      <x:c r="U246" s="11" t="n">
        <x:f>S246-XLOOKUP(A246,Lotes!$A$4:$A$8,Lotes!$D$4:$D$8,Premissas!$B$9)-Q246-R246</x:f>
        <x:v>2677.5646177685953</x:v>
      </x:c>
      <x:c r="V246" s="11" t="n">
        <x:f>U246*F246</x:f>
        <x:v>0</x:v>
      </x:c>
      <x:c r="W246" s="10" t="n">
        <x:f>IF(S246=0,0,U246/S246)</x:f>
        <x:v>0.772745921433938</x:v>
      </x:c>
      <x:c r="X246" s="11" t="n">
        <x:f>IF(D246-G246&lt;=0,0,Q246/(D246-G246))</x:f>
        <x:v>121.14390495867764</x:v>
      </x:c>
      <x:c r="Y246" s="10" t="n">
        <x:f>IFERROR(U246/(XLOOKUP(A246,Lotes!$A$4:$A$8,Lotes!$D$4:$D$8,Premissas!$B$9)+Q246+R246),0)</x:f>
        <x:v>3.4003610685882744</x:v>
      </x:c>
      <x:c r="Z246" s="10" t="n">
        <x:f>IF(L246=0,Y246,Y246/MAX(1,L246/Premissas!$B$7))</x:f>
        <x:v>0.23017828771982166</x:v>
      </x:c>
      <x:c r="AA246" s="9" t="str">
        <x:f>IF(L246=0,"Venda imediata",IF(L246&lt;=60,"Baixo",IF(L246&lt;=120,"Médio","Alto")))</x:f>
        <x:v>Alto</x:v>
      </x:c>
      <x:c r="AB246" s="9" t="str">
        <x:f>IF(U246&lt;0,"Não fazer",IF(AA246="Alto","Risco seca",IF(Z246&gt;=0.03,"Bom giro","Margem ok")))</x:f>
        <x:v>Risco seca</x:v>
      </x:c>
    </x:row>
    <x:row r="247">
      <x:c r="A247" s="9" t="str">
        <x:v>Bezerras pequenas 4@</x:v>
      </x:c>
      <x:c r="B247" s="9" t="str">
        <x:v>Econômica</x:v>
      </x:c>
      <x:c r="C247" s="9" t="str">
        <x:v>Conservador</x:v>
      </x:c>
      <x:c r="D247" s="9" t="n">
        <x:v>11</x:v>
      </x:c>
      <x:c r="E247" s="11" t="n">
        <x:f>Premissas!$B$6</x:f>
        <x:v>330</x:v>
      </x:c>
      <x:c r="F247" s="9" t="n">
        <x:f>XLOOKUP(A247,Lotes!$A$4:$A$8,Lotes!$B$4:$B$8,0)</x:f>
        <x:v>0</x:v>
      </x:c>
      <x:c r="G247" s="13" t="n">
        <x:f>XLOOKUP(A247,Lotes!$A$4:$A$8,Lotes!$C$4:$C$8,0)</x:f>
        <x:v>4</x:v>
      </x:c>
      <x:c r="H247" s="13" t="n">
        <x:f>G247*Premissas!$B$5/Premissas!$B$4</x:f>
        <x:v>109.09090909090908</x:v>
      </x:c>
      <x:c r="I247" s="13" t="n">
        <x:f>D247*Premissas!$B$5/Premissas!$B$4</x:f>
        <x:v>300</x:v>
      </x:c>
      <x:c r="J247" s="13" t="n">
        <x:f>MAX(0,I247-H247)</x:f>
        <x:v>190.90909090909093</x:v>
      </x:c>
      <x:c r="K247" s="13" t="n">
        <x:f>SUMIFS('Cenários de GMD'!$C$4:$C$19,'Cenários de GMD'!$A$4:$A$19,B247,'Cenários de GMD'!$B$4:$B$19,C247)</x:f>
        <x:v>0.4</x:v>
      </x:c>
      <x:c r="L247" s="13" t="n">
        <x:f>IF(J247=0,0,J247/K247)</x:f>
        <x:v>477.2727272727273</x:v>
      </x:c>
      <x:c r="M247" s="13" t="n">
        <x:f>((H247+I247)/2)*SUMIFS('Cenários de GMD'!$D$4:$D$19,'Cenários de GMD'!$A$4:$A$19,B247,'Cenários de GMD'!$B$4:$B$19,C247)</x:f>
        <x:v>0.20454545454545453</x:v>
      </x:c>
      <x:c r="N247" s="13" t="n">
        <x:f>((H247+I247)/2)*SUMIFS('Cenários de GMD'!$E$4:$E$19,'Cenários de GMD'!$A$4:$A$19,B247,'Cenários de GMD'!$B$4:$B$19,C247)</x:f>
        <x:v>0.6136363636363636</x:v>
      </x:c>
      <x:c r="O247" s="11" t="n">
        <x:f>M247*Insumos!$E$4+N247*Insumos!$E$5</x:f>
        <x:v>1.8380454545454545</x:v>
      </x:c>
      <x:c r="P247" s="11" t="n">
        <x:f>O247*Premissas!$B$7</x:f>
        <x:v>55.141363636363636</x:v>
      </x:c>
      <x:c r="Q247" s="11" t="n">
        <x:f>O247*L247</x:f>
        <x:v>877.2489669421489</x:v>
      </x:c>
      <x:c r="R247" s="11" t="n">
        <x:f>Premissas!$B$7*Premissas!$B$8*L247</x:f>
        <x:v>0</x:v>
      </x:c>
      <x:c r="S247" s="11" t="n">
        <x:f>D247*E247</x:f>
        <x:v>3630</x:v>
      </x:c>
      <x:c r="T247" s="11" t="n">
        <x:f>S247*F247</x:f>
        <x:v>0</x:v>
      </x:c>
      <x:c r="U247" s="11" t="n">
        <x:f>S247-XLOOKUP(A247,Lotes!$A$4:$A$8,Lotes!$D$4:$D$8,Premissas!$B$9)-Q247-R247</x:f>
        <x:v>2752.751033057851</x:v>
      </x:c>
      <x:c r="V247" s="11" t="n">
        <x:f>U247*F247</x:f>
        <x:v>0</x:v>
      </x:c>
      <x:c r="W247" s="10" t="n">
        <x:f>IF(S247=0,0,U247/S247)</x:f>
        <x:v>0.758333617922273</x:v>
      </x:c>
      <x:c r="X247" s="11" t="n">
        <x:f>IF(D247-G247&lt;=0,0,Q247/(D247-G247))</x:f>
        <x:v>125.32128099173555</x:v>
      </x:c>
      <x:c r="Y247" s="10" t="n">
        <x:f>IFERROR(U247/(XLOOKUP(A247,Lotes!$A$4:$A$8,Lotes!$D$4:$D$8,Premissas!$B$9)+Q247+R247),0)</x:f>
        <x:v>3.1379359073550033</x:v>
      </x:c>
      <x:c r="Z247" s="10" t="n">
        <x:f>IF(L247=0,Y247,Y247/MAX(1,L247/Premissas!$B$7))</x:f>
        <x:v>0.19724168560517163</x:v>
      </x:c>
      <x:c r="AA247" s="9" t="str">
        <x:f>IF(L247=0,"Venda imediata",IF(L247&lt;=60,"Baixo",IF(L247&lt;=120,"Médio","Alto")))</x:f>
        <x:v>Alto</x:v>
      </x:c>
      <x:c r="AB247" s="9" t="str">
        <x:f>IF(U247&lt;0,"Não fazer",IF(AA247="Alto","Risco seca",IF(Z247&gt;=0.03,"Bom giro","Margem ok")))</x:f>
        <x:v>Risco seca</x:v>
      </x:c>
    </x:row>
    <x:row r="248">
      <x:c r="A248" s="9" t="str">
        <x:v>Bezerras pequenas 4@</x:v>
      </x:c>
      <x:c r="B248" s="9" t="str">
        <x:v>Econômica</x:v>
      </x:c>
      <x:c r="C248" s="9" t="str">
        <x:v>Conservador</x:v>
      </x:c>
      <x:c r="D248" s="9" t="n">
        <x:v>12</x:v>
      </x:c>
      <x:c r="E248" s="11" t="n">
        <x:f>Premissas!$B$6</x:f>
        <x:v>330</x:v>
      </x:c>
      <x:c r="F248" s="9" t="n">
        <x:f>XLOOKUP(A248,Lotes!$A$4:$A$8,Lotes!$B$4:$B$8,0)</x:f>
        <x:v>0</x:v>
      </x:c>
      <x:c r="G248" s="13" t="n">
        <x:f>XLOOKUP(A248,Lotes!$A$4:$A$8,Lotes!$C$4:$C$8,0)</x:f>
        <x:v>4</x:v>
      </x:c>
      <x:c r="H248" s="13" t="n">
        <x:f>G248*Premissas!$B$5/Premissas!$B$4</x:f>
        <x:v>109.09090909090908</x:v>
      </x:c>
      <x:c r="I248" s="13" t="n">
        <x:f>D248*Premissas!$B$5/Premissas!$B$4</x:f>
        <x:v>327.27272727272725</x:v>
      </x:c>
      <x:c r="J248" s="13" t="n">
        <x:f>MAX(0,I248-H248)</x:f>
        <x:v>218.1818181818182</x:v>
      </x:c>
      <x:c r="K248" s="13" t="n">
        <x:f>SUMIFS('Cenários de GMD'!$C$4:$C$19,'Cenários de GMD'!$A$4:$A$19,B248,'Cenários de GMD'!$B$4:$B$19,C248)</x:f>
        <x:v>0.4</x:v>
      </x:c>
      <x:c r="L248" s="13" t="n">
        <x:f>IF(J248=0,0,J248/K248)</x:f>
        <x:v>545.4545454545454</x:v>
      </x:c>
      <x:c r="M248" s="13" t="n">
        <x:f>((H248+I248)/2)*SUMIFS('Cenários de GMD'!$D$4:$D$19,'Cenários de GMD'!$A$4:$A$19,B248,'Cenários de GMD'!$B$4:$B$19,C248)</x:f>
        <x:v>0.21818181818181817</x:v>
      </x:c>
      <x:c r="N248" s="13" t="n">
        <x:f>((H248+I248)/2)*SUMIFS('Cenários de GMD'!$E$4:$E$19,'Cenários de GMD'!$A$4:$A$19,B248,'Cenários de GMD'!$B$4:$B$19,C248)</x:f>
        <x:v>0.6545454545454545</x:v>
      </x:c>
      <x:c r="O248" s="11" t="n">
        <x:f>M248*Insumos!$E$4+N248*Insumos!$E$5</x:f>
        <x:v>1.9605818181818182</x:v>
      </x:c>
      <x:c r="P248" s="11" t="n">
        <x:f>O248*Premissas!$B$7</x:f>
        <x:v>58.817454545454545</x:v>
      </x:c>
      <x:c r="Q248" s="11" t="n">
        <x:f>O248*L248</x:f>
        <x:v>1069.4082644628097</x:v>
      </x:c>
      <x:c r="R248" s="11" t="n">
        <x:f>Premissas!$B$7*Premissas!$B$8*L248</x:f>
        <x:v>0</x:v>
      </x:c>
      <x:c r="S248" s="11" t="n">
        <x:f>D248*E248</x:f>
        <x:v>3960</x:v>
      </x:c>
      <x:c r="T248" s="11" t="n">
        <x:f>S248*F248</x:f>
        <x:v>0</x:v>
      </x:c>
      <x:c r="U248" s="11" t="n">
        <x:f>S248-XLOOKUP(A248,Lotes!$A$4:$A$8,Lotes!$D$4:$D$8,Premissas!$B$9)-Q248-R248</x:f>
        <x:v>2890.5917355371903</x:v>
      </x:c>
      <x:c r="V248" s="11" t="n">
        <x:f>U248*F248</x:f>
        <x:v>0</x:v>
      </x:c>
      <x:c r="W248" s="10" t="n">
        <x:f>IF(S248=0,0,U248/S248)</x:f>
        <x:v>0.729947407963937</x:v>
      </x:c>
      <x:c r="X248" s="11" t="n">
        <x:f>IF(D248-G248&lt;=0,0,Q248/(D248-G248))</x:f>
        <x:v>133.6760330578512</x:v>
      </x:c>
      <x:c r="Y248" s="10" t="n">
        <x:f>IFERROR(U248/(XLOOKUP(A248,Lotes!$A$4:$A$8,Lotes!$D$4:$D$8,Premissas!$B$9)+Q248+R248),0)</x:f>
        <x:v>2.702982417093257</x:v>
      </x:c>
      <x:c r="Z248" s="10" t="n">
        <x:f>IF(L248=0,Y248,Y248/MAX(1,L248/Premissas!$B$7))</x:f>
        <x:v>0.14866403294012914</x:v>
      </x:c>
      <x:c r="AA248" s="9" t="str">
        <x:f>IF(L248=0,"Venda imediata",IF(L248&lt;=60,"Baixo",IF(L248&lt;=120,"Médio","Alto")))</x:f>
        <x:v>Alto</x:v>
      </x:c>
      <x:c r="AB248" s="9" t="str">
        <x:f>IF(U248&lt;0,"Não fazer",IF(AA248="Alto","Risco seca",IF(Z248&gt;=0.03,"Bom giro","Margem ok")))</x:f>
        <x:v>Risco seca</x:v>
      </x:c>
    </x:row>
    <x:row r="249">
      <x:c r="A249" s="9" t="str">
        <x:v>Bezerras pequenas 4@</x:v>
      </x:c>
      <x:c r="B249" s="9" t="str">
        <x:v>Econômica</x:v>
      </x:c>
      <x:c r="C249" s="9" t="str">
        <x:v>Base</x:v>
      </x:c>
      <x:c r="D249" s="9" t="n">
        <x:v>8.5</x:v>
      </x:c>
      <x:c r="E249" s="11" t="n">
        <x:f>Premissas!$B$6</x:f>
        <x:v>330</x:v>
      </x:c>
      <x:c r="F249" s="9" t="n">
        <x:f>XLOOKUP(A249,Lotes!$A$4:$A$8,Lotes!$B$4:$B$8,0)</x:f>
        <x:v>0</x:v>
      </x:c>
      <x:c r="G249" s="13" t="n">
        <x:f>XLOOKUP(A249,Lotes!$A$4:$A$8,Lotes!$C$4:$C$8,0)</x:f>
        <x:v>4</x:v>
      </x:c>
      <x:c r="H249" s="13" t="n">
        <x:f>G249*Premissas!$B$5/Premissas!$B$4</x:f>
        <x:v>109.09090909090908</x:v>
      </x:c>
      <x:c r="I249" s="13" t="n">
        <x:f>D249*Premissas!$B$5/Premissas!$B$4</x:f>
        <x:v>231.8181818181818</x:v>
      </x:c>
      <x:c r="J249" s="13" t="n">
        <x:f>MAX(0,I249-H249)</x:f>
        <x:v>122.72727272727273</x:v>
      </x:c>
      <x:c r="K249" s="13" t="n">
        <x:f>SUMIFS('Cenários de GMD'!$C$4:$C$19,'Cenários de GMD'!$A$4:$A$19,B249,'Cenários de GMD'!$B$4:$B$19,C249)</x:f>
        <x:v>0.5</x:v>
      </x:c>
      <x:c r="L249" s="13" t="n">
        <x:f>IF(J249=0,0,J249/K249)</x:f>
        <x:v>245.45454545454547</x:v>
      </x:c>
      <x:c r="M249" s="13" t="n">
        <x:f>((H249+I249)/2)*SUMIFS('Cenários de GMD'!$D$4:$D$19,'Cenários de GMD'!$A$4:$A$19,B249,'Cenários de GMD'!$B$4:$B$19,C249)</x:f>
        <x:v>0.17045454545454544</x:v>
      </x:c>
      <x:c r="N249" s="13" t="n">
        <x:f>((H249+I249)/2)*SUMIFS('Cenários de GMD'!$E$4:$E$19,'Cenários de GMD'!$A$4:$A$19,B249,'Cenários de GMD'!$B$4:$B$19,C249)</x:f>
        <x:v>0.5113636363636364</x:v>
      </x:c>
      <x:c r="O249" s="11" t="n">
        <x:f>M249*Insumos!$E$4+N249*Insumos!$E$5</x:f>
        <x:v>1.5317045454545455</x:v>
      </x:c>
      <x:c r="P249" s="11" t="n">
        <x:f>O249*Premissas!$B$7</x:f>
        <x:v>45.951136363636365</x:v>
      </x:c>
      <x:c r="Q249" s="11" t="n">
        <x:f>O249*L249</x:f>
        <x:v>375.96384297520666</x:v>
      </x:c>
      <x:c r="R249" s="11" t="n">
        <x:f>Premissas!$B$7*Premissas!$B$8*L249</x:f>
        <x:v>0</x:v>
      </x:c>
      <x:c r="S249" s="11" t="n">
        <x:f>D249*E249</x:f>
        <x:v>2805</x:v>
      </x:c>
      <x:c r="T249" s="11" t="n">
        <x:f>S249*F249</x:f>
        <x:v>0</x:v>
      </x:c>
      <x:c r="U249" s="11" t="n">
        <x:f>S249-XLOOKUP(A249,Lotes!$A$4:$A$8,Lotes!$D$4:$D$8,Premissas!$B$9)-Q249-R249</x:f>
        <x:v>2429.0361570247933</x:v>
      </x:c>
      <x:c r="V249" s="11" t="n">
        <x:f>U249*F249</x:f>
        <x:v>0</x:v>
      </x:c>
      <x:c r="W249" s="10" t="n">
        <x:f>IF(S249=0,0,U249/S249)</x:f>
        <x:v>0.8659665443938657</x:v>
      </x:c>
      <x:c r="X249" s="11" t="n">
        <x:f>IF(D249-G249&lt;=0,0,Q249/(D249-G249))</x:f>
        <x:v>83.54752066115704</x:v>
      </x:c>
      <x:c r="Y249" s="10" t="n">
        <x:f>IFERROR(U249/(XLOOKUP(A249,Lotes!$A$4:$A$8,Lotes!$D$4:$D$8,Premissas!$B$9)+Q249+R249),0)</x:f>
        <x:v>6.460823832958263</x:v>
      </x:c>
      <x:c r="Z249" s="10" t="n">
        <x:f>IF(L249=0,Y249,Y249/MAX(1,L249/Premissas!$B$7))</x:f>
        <x:v>0.7896562462504544</x:v>
      </x:c>
      <x:c r="AA249" s="9" t="str">
        <x:f>IF(L249=0,"Venda imediata",IF(L249&lt;=60,"Baixo",IF(L249&lt;=120,"Médio","Alto")))</x:f>
        <x:v>Alto</x:v>
      </x:c>
      <x:c r="AB249" s="9" t="str">
        <x:f>IF(U249&lt;0,"Não fazer",IF(AA249="Alto","Risco seca",IF(Z249&gt;=0.03,"Bom giro","Margem ok")))</x:f>
        <x:v>Risco seca</x:v>
      </x:c>
    </x:row>
    <x:row r="250">
      <x:c r="A250" s="9" t="str">
        <x:v>Bezerras pequenas 4@</x:v>
      </x:c>
      <x:c r="B250" s="9" t="str">
        <x:v>Econômica</x:v>
      </x:c>
      <x:c r="C250" s="9" t="str">
        <x:v>Base</x:v>
      </x:c>
      <x:c r="D250" s="9" t="n">
        <x:v>9</x:v>
      </x:c>
      <x:c r="E250" s="11" t="n">
        <x:f>Premissas!$B$6</x:f>
        <x:v>330</x:v>
      </x:c>
      <x:c r="F250" s="9" t="n">
        <x:f>XLOOKUP(A250,Lotes!$A$4:$A$8,Lotes!$B$4:$B$8,0)</x:f>
        <x:v>0</x:v>
      </x:c>
      <x:c r="G250" s="13" t="n">
        <x:f>XLOOKUP(A250,Lotes!$A$4:$A$8,Lotes!$C$4:$C$8,0)</x:f>
        <x:v>4</x:v>
      </x:c>
      <x:c r="H250" s="13" t="n">
        <x:f>G250*Premissas!$B$5/Premissas!$B$4</x:f>
        <x:v>109.09090909090908</x:v>
      </x:c>
      <x:c r="I250" s="13" t="n">
        <x:f>D250*Premissas!$B$5/Premissas!$B$4</x:f>
        <x:v>245.45454545454544</x:v>
      </x:c>
      <x:c r="J250" s="13" t="n">
        <x:f>MAX(0,I250-H250)</x:f>
        <x:v>136.36363636363637</x:v>
      </x:c>
      <x:c r="K250" s="13" t="n">
        <x:f>SUMIFS('Cenários de GMD'!$C$4:$C$19,'Cenários de GMD'!$A$4:$A$19,B250,'Cenários de GMD'!$B$4:$B$19,C250)</x:f>
        <x:v>0.5</x:v>
      </x:c>
      <x:c r="L250" s="13" t="n">
        <x:f>IF(J250=0,0,J250/K250)</x:f>
        <x:v>272.72727272727275</x:v>
      </x:c>
      <x:c r="M250" s="13" t="n">
        <x:f>((H250+I250)/2)*SUMIFS('Cenários de GMD'!$D$4:$D$19,'Cenários de GMD'!$A$4:$A$19,B250,'Cenários de GMD'!$B$4:$B$19,C250)</x:f>
        <x:v>0.17727272727272725</x:v>
      </x:c>
      <x:c r="N250" s="13" t="n">
        <x:f>((H250+I250)/2)*SUMIFS('Cenários de GMD'!$E$4:$E$19,'Cenários de GMD'!$A$4:$A$19,B250,'Cenários de GMD'!$B$4:$B$19,C250)</x:f>
        <x:v>0.5318181818181817</x:v>
      </x:c>
      <x:c r="O250" s="11" t="n">
        <x:f>M250*Insumos!$E$4+N250*Insumos!$E$5</x:f>
        <x:v>1.592972727272727</x:v>
      </x:c>
      <x:c r="P250" s="11" t="n">
        <x:f>O250*Premissas!$B$7</x:f>
        <x:v>47.78918181818181</x:v>
      </x:c>
      <x:c r="Q250" s="11" t="n">
        <x:f>O250*L250</x:f>
        <x:v>434.4471074380165</x:v>
      </x:c>
      <x:c r="R250" s="11" t="n">
        <x:f>Premissas!$B$7*Premissas!$B$8*L250</x:f>
        <x:v>0</x:v>
      </x:c>
      <x:c r="S250" s="11" t="n">
        <x:f>D250*E250</x:f>
        <x:v>2970</x:v>
      </x:c>
      <x:c r="T250" s="11" t="n">
        <x:f>S250*F250</x:f>
        <x:v>0</x:v>
      </x:c>
      <x:c r="U250" s="11" t="n">
        <x:f>S250-XLOOKUP(A250,Lotes!$A$4:$A$8,Lotes!$D$4:$D$8,Premissas!$B$9)-Q250-R250</x:f>
        <x:v>2535.5528925619838</x:v>
      </x:c>
      <x:c r="V250" s="11" t="n">
        <x:f>U250*F250</x:f>
        <x:v>0</x:v>
      </x:c>
      <x:c r="W250" s="10" t="n">
        <x:f>IF(S250=0,0,U250/S250)</x:f>
        <x:v>0.8537215126471326</x:v>
      </x:c>
      <x:c r="X250" s="11" t="n">
        <x:f>IF(D250-G250&lt;=0,0,Q250/(D250-G250))</x:f>
        <x:v>86.8894214876033</x:v>
      </x:c>
      <x:c r="Y250" s="10" t="n">
        <x:f>IFERROR(U250/(XLOOKUP(A250,Lotes!$A$4:$A$8,Lotes!$D$4:$D$8,Premissas!$B$9)+Q250+R250),0)</x:f>
        <x:v>5.836275231556782</x:v>
      </x:c>
      <x:c r="Z250" s="10" t="n">
        <x:f>IF(L250=0,Y250,Y250/MAX(1,L250/Premissas!$B$7))</x:f>
        <x:v>0.641990275471246</x:v>
      </x:c>
      <x:c r="AA250" s="9" t="str">
        <x:f>IF(L250=0,"Venda imediata",IF(L250&lt;=60,"Baixo",IF(L250&lt;=120,"Médio","Alto")))</x:f>
        <x:v>Alto</x:v>
      </x:c>
      <x:c r="AB250" s="9" t="str">
        <x:f>IF(U250&lt;0,"Não fazer",IF(AA250="Alto","Risco seca",IF(Z250&gt;=0.03,"Bom giro","Margem ok")))</x:f>
        <x:v>Risco seca</x:v>
      </x:c>
    </x:row>
    <x:row r="251">
      <x:c r="A251" s="9" t="str">
        <x:v>Bezerras pequenas 4@</x:v>
      </x:c>
      <x:c r="B251" s="9" t="str">
        <x:v>Econômica</x:v>
      </x:c>
      <x:c r="C251" s="9" t="str">
        <x:v>Base</x:v>
      </x:c>
      <x:c r="D251" s="9" t="n">
        <x:v>10.5</x:v>
      </x:c>
      <x:c r="E251" s="11" t="n">
        <x:f>Premissas!$B$6</x:f>
        <x:v>330</x:v>
      </x:c>
      <x:c r="F251" s="9" t="n">
        <x:f>XLOOKUP(A251,Lotes!$A$4:$A$8,Lotes!$B$4:$B$8,0)</x:f>
        <x:v>0</x:v>
      </x:c>
      <x:c r="G251" s="13" t="n">
        <x:f>XLOOKUP(A251,Lotes!$A$4:$A$8,Lotes!$C$4:$C$8,0)</x:f>
        <x:v>4</x:v>
      </x:c>
      <x:c r="H251" s="13" t="n">
        <x:f>G251*Premissas!$B$5/Premissas!$B$4</x:f>
        <x:v>109.09090909090908</x:v>
      </x:c>
      <x:c r="I251" s="13" t="n">
        <x:f>D251*Premissas!$B$5/Premissas!$B$4</x:f>
        <x:v>286.3636363636363</x:v>
      </x:c>
      <x:c r="J251" s="13" t="n">
        <x:f>MAX(0,I251-H251)</x:f>
        <x:v>177.27272727272725</x:v>
      </x:c>
      <x:c r="K251" s="13" t="n">
        <x:f>SUMIFS('Cenários de GMD'!$C$4:$C$19,'Cenários de GMD'!$A$4:$A$19,B251,'Cenários de GMD'!$B$4:$B$19,C251)</x:f>
        <x:v>0.5</x:v>
      </x:c>
      <x:c r="L251" s="13" t="n">
        <x:f>IF(J251=0,0,J251/K251)</x:f>
        <x:v>354.5454545454545</x:v>
      </x:c>
      <x:c r="M251" s="13" t="n">
        <x:f>((H251+I251)/2)*SUMIFS('Cenários de GMD'!$D$4:$D$19,'Cenários de GMD'!$A$4:$A$19,B251,'Cenários de GMD'!$B$4:$B$19,C251)</x:f>
        <x:v>0.1977272727272727</x:v>
      </x:c>
      <x:c r="N251" s="13" t="n">
        <x:f>((H251+I251)/2)*SUMIFS('Cenários de GMD'!$E$4:$E$19,'Cenários de GMD'!$A$4:$A$19,B251,'Cenários de GMD'!$B$4:$B$19,C251)</x:f>
        <x:v>0.593181818181818</x:v>
      </x:c>
      <x:c r="O251" s="11" t="n">
        <x:f>M251*Insumos!$E$4+N251*Insumos!$E$5</x:f>
        <x:v>1.7767772727272724</x:v>
      </x:c>
      <x:c r="P251" s="11" t="n">
        <x:f>O251*Premissas!$B$7</x:f>
        <x:v>53.30331818181817</x:v>
      </x:c>
      <x:c r="Q251" s="11" t="n">
        <x:f>O251*L251</x:f>
        <x:v>629.9483057851238</x:v>
      </x:c>
      <x:c r="R251" s="11" t="n">
        <x:f>Premissas!$B$7*Premissas!$B$8*L251</x:f>
        <x:v>0</x:v>
      </x:c>
      <x:c r="S251" s="11" t="n">
        <x:f>D251*E251</x:f>
        <x:v>3465</x:v>
      </x:c>
      <x:c r="T251" s="11" t="n">
        <x:f>S251*F251</x:f>
        <x:v>0</x:v>
      </x:c>
      <x:c r="U251" s="11" t="n">
        <x:f>S251-XLOOKUP(A251,Lotes!$A$4:$A$8,Lotes!$D$4:$D$8,Premissas!$B$9)-Q251-R251</x:f>
        <x:v>2835.051694214876</x:v>
      </x:c>
      <x:c r="V251" s="11" t="n">
        <x:f>U251*F251</x:f>
        <x:v>0</x:v>
      </x:c>
      <x:c r="W251" s="10" t="n">
        <x:f>IF(S251=0,0,U251/S251)</x:f>
        <x:v>0.8181967371471504</x:v>
      </x:c>
      <x:c r="X251" s="11" t="n">
        <x:f>IF(D251-G251&lt;=0,0,Q251/(D251-G251))</x:f>
        <x:v>96.91512396694212</x:v>
      </x:c>
      <x:c r="Y251" s="10" t="n">
        <x:f>IFERROR(U251/(XLOOKUP(A251,Lotes!$A$4:$A$8,Lotes!$D$4:$D$8,Premissas!$B$9)+Q251+R251),0)</x:f>
        <x:v>4.500451335735342</x:v>
      </x:c>
      <x:c r="Z251" s="10" t="n">
        <x:f>IF(L251=0,Y251,Y251/MAX(1,L251/Premissas!$B$7))</x:f>
        <x:v>0.38080742071606744</x:v>
      </x:c>
      <x:c r="AA251" s="9" t="str">
        <x:f>IF(L251=0,"Venda imediata",IF(L251&lt;=60,"Baixo",IF(L251&lt;=120,"Médio","Alto")))</x:f>
        <x:v>Alto</x:v>
      </x:c>
      <x:c r="AB251" s="9" t="str">
        <x:f>IF(U251&lt;0,"Não fazer",IF(AA251="Alto","Risco seca",IF(Z251&gt;=0.03,"Bom giro","Margem ok")))</x:f>
        <x:v>Risco seca</x:v>
      </x:c>
    </x:row>
    <x:row r="252">
      <x:c r="A252" s="9" t="str">
        <x:v>Bezerras pequenas 4@</x:v>
      </x:c>
      <x:c r="B252" s="9" t="str">
        <x:v>Econômica</x:v>
      </x:c>
      <x:c r="C252" s="9" t="str">
        <x:v>Base</x:v>
      </x:c>
      <x:c r="D252" s="9" t="n">
        <x:v>11</x:v>
      </x:c>
      <x:c r="E252" s="11" t="n">
        <x:f>Premissas!$B$6</x:f>
        <x:v>330</x:v>
      </x:c>
      <x:c r="F252" s="9" t="n">
        <x:f>XLOOKUP(A252,Lotes!$A$4:$A$8,Lotes!$B$4:$B$8,0)</x:f>
        <x:v>0</x:v>
      </x:c>
      <x:c r="G252" s="13" t="n">
        <x:f>XLOOKUP(A252,Lotes!$A$4:$A$8,Lotes!$C$4:$C$8,0)</x:f>
        <x:v>4</x:v>
      </x:c>
      <x:c r="H252" s="13" t="n">
        <x:f>G252*Premissas!$B$5/Premissas!$B$4</x:f>
        <x:v>109.09090909090908</x:v>
      </x:c>
      <x:c r="I252" s="13" t="n">
        <x:f>D252*Premissas!$B$5/Premissas!$B$4</x:f>
        <x:v>300</x:v>
      </x:c>
      <x:c r="J252" s="13" t="n">
        <x:f>MAX(0,I252-H252)</x:f>
        <x:v>190.90909090909093</x:v>
      </x:c>
      <x:c r="K252" s="13" t="n">
        <x:f>SUMIFS('Cenários de GMD'!$C$4:$C$19,'Cenários de GMD'!$A$4:$A$19,B252,'Cenários de GMD'!$B$4:$B$19,C252)</x:f>
        <x:v>0.5</x:v>
      </x:c>
      <x:c r="L252" s="13" t="n">
        <x:f>IF(J252=0,0,J252/K252)</x:f>
        <x:v>381.81818181818187</x:v>
      </x:c>
      <x:c r="M252" s="13" t="n">
        <x:f>((H252+I252)/2)*SUMIFS('Cenários de GMD'!$D$4:$D$19,'Cenários de GMD'!$A$4:$A$19,B252,'Cenários de GMD'!$B$4:$B$19,C252)</x:f>
        <x:v>0.20454545454545453</x:v>
      </x:c>
      <x:c r="N252" s="13" t="n">
        <x:f>((H252+I252)/2)*SUMIFS('Cenários de GMD'!$E$4:$E$19,'Cenários de GMD'!$A$4:$A$19,B252,'Cenários de GMD'!$B$4:$B$19,C252)</x:f>
        <x:v>0.6136363636363636</x:v>
      </x:c>
      <x:c r="O252" s="11" t="n">
        <x:f>M252*Insumos!$E$4+N252*Insumos!$E$5</x:f>
        <x:v>1.8380454545454545</x:v>
      </x:c>
      <x:c r="P252" s="11" t="n">
        <x:f>O252*Premissas!$B$7</x:f>
        <x:v>55.141363636363636</x:v>
      </x:c>
      <x:c r="Q252" s="11" t="n">
        <x:f>O252*L252</x:f>
        <x:v>701.7991735537191</x:v>
      </x:c>
      <x:c r="R252" s="11" t="n">
        <x:f>Premissas!$B$7*Premissas!$B$8*L252</x:f>
        <x:v>0</x:v>
      </x:c>
      <x:c r="S252" s="11" t="n">
        <x:f>D252*E252</x:f>
        <x:v>3630</x:v>
      </x:c>
      <x:c r="T252" s="11" t="n">
        <x:f>S252*F252</x:f>
        <x:v>0</x:v>
      </x:c>
      <x:c r="U252" s="11" t="n">
        <x:f>S252-XLOOKUP(A252,Lotes!$A$4:$A$8,Lotes!$D$4:$D$8,Premissas!$B$9)-Q252-R252</x:f>
        <x:v>2928.200826446281</x:v>
      </x:c>
      <x:c r="V252" s="11" t="n">
        <x:f>U252*F252</x:f>
        <x:v>0</x:v>
      </x:c>
      <x:c r="W252" s="10" t="n">
        <x:f>IF(S252=0,0,U252/S252)</x:f>
        <x:v>0.8066668943378185</x:v>
      </x:c>
      <x:c r="X252" s="11" t="n">
        <x:f>IF(D252-G252&lt;=0,0,Q252/(D252-G252))</x:f>
        <x:v>100.25702479338845</x:v>
      </x:c>
      <x:c r="Y252" s="10" t="n">
        <x:f>IFERROR(U252/(XLOOKUP(A252,Lotes!$A$4:$A$8,Lotes!$D$4:$D$8,Premissas!$B$9)+Q252+R252),0)</x:f>
        <x:v>4.172419884193754</x:v>
      </x:c>
      <x:c r="Z252" s="10" t="n">
        <x:f>IF(L252=0,Y252,Y252/MAX(1,L252/Premissas!$B$7))</x:f>
        <x:v>0.3278329909009378</x:v>
      </x:c>
      <x:c r="AA252" s="9" t="str">
        <x:f>IF(L252=0,"Venda imediata",IF(L252&lt;=60,"Baixo",IF(L252&lt;=120,"Médio","Alto")))</x:f>
        <x:v>Alto</x:v>
      </x:c>
      <x:c r="AB252" s="9" t="str">
        <x:f>IF(U252&lt;0,"Não fazer",IF(AA252="Alto","Risco seca",IF(Z252&gt;=0.03,"Bom giro","Margem ok")))</x:f>
        <x:v>Risco seca</x:v>
      </x:c>
    </x:row>
    <x:row r="253">
      <x:c r="A253" s="9" t="str">
        <x:v>Bezerras pequenas 4@</x:v>
      </x:c>
      <x:c r="B253" s="9" t="str">
        <x:v>Econômica</x:v>
      </x:c>
      <x:c r="C253" s="9" t="str">
        <x:v>Base</x:v>
      </x:c>
      <x:c r="D253" s="9" t="n">
        <x:v>12</x:v>
      </x:c>
      <x:c r="E253" s="11" t="n">
        <x:f>Premissas!$B$6</x:f>
        <x:v>330</x:v>
      </x:c>
      <x:c r="F253" s="9" t="n">
        <x:f>XLOOKUP(A253,Lotes!$A$4:$A$8,Lotes!$B$4:$B$8,0)</x:f>
        <x:v>0</x:v>
      </x:c>
      <x:c r="G253" s="13" t="n">
        <x:f>XLOOKUP(A253,Lotes!$A$4:$A$8,Lotes!$C$4:$C$8,0)</x:f>
        <x:v>4</x:v>
      </x:c>
      <x:c r="H253" s="13" t="n">
        <x:f>G253*Premissas!$B$5/Premissas!$B$4</x:f>
        <x:v>109.09090909090908</x:v>
      </x:c>
      <x:c r="I253" s="13" t="n">
        <x:f>D253*Premissas!$B$5/Premissas!$B$4</x:f>
        <x:v>327.27272727272725</x:v>
      </x:c>
      <x:c r="J253" s="13" t="n">
        <x:f>MAX(0,I253-H253)</x:f>
        <x:v>218.1818181818182</x:v>
      </x:c>
      <x:c r="K253" s="13" t="n">
        <x:f>SUMIFS('Cenários de GMD'!$C$4:$C$19,'Cenários de GMD'!$A$4:$A$19,B253,'Cenários de GMD'!$B$4:$B$19,C253)</x:f>
        <x:v>0.5</x:v>
      </x:c>
      <x:c r="L253" s="13" t="n">
        <x:f>IF(J253=0,0,J253/K253)</x:f>
        <x:v>436.3636363636364</x:v>
      </x:c>
      <x:c r="M253" s="13" t="n">
        <x:f>((H253+I253)/2)*SUMIFS('Cenários de GMD'!$D$4:$D$19,'Cenários de GMD'!$A$4:$A$19,B253,'Cenários de GMD'!$B$4:$B$19,C253)</x:f>
        <x:v>0.21818181818181817</x:v>
      </x:c>
      <x:c r="N253" s="13" t="n">
        <x:f>((H253+I253)/2)*SUMIFS('Cenários de GMD'!$E$4:$E$19,'Cenários de GMD'!$A$4:$A$19,B253,'Cenários de GMD'!$B$4:$B$19,C253)</x:f>
        <x:v>0.6545454545454545</x:v>
      </x:c>
      <x:c r="O253" s="11" t="n">
        <x:f>M253*Insumos!$E$4+N253*Insumos!$E$5</x:f>
        <x:v>1.9605818181818182</x:v>
      </x:c>
      <x:c r="P253" s="11" t="n">
        <x:f>O253*Premissas!$B$7</x:f>
        <x:v>58.817454545454545</x:v>
      </x:c>
      <x:c r="Q253" s="11" t="n">
        <x:f>O253*L253</x:f>
        <x:v>855.526611570248</x:v>
      </x:c>
      <x:c r="R253" s="11" t="n">
        <x:f>Premissas!$B$7*Premissas!$B$8*L253</x:f>
        <x:v>0</x:v>
      </x:c>
      <x:c r="S253" s="11" t="n">
        <x:f>D253*E253</x:f>
        <x:v>3960</x:v>
      </x:c>
      <x:c r="T253" s="11" t="n">
        <x:f>S253*F253</x:f>
        <x:v>0</x:v>
      </x:c>
      <x:c r="U253" s="11" t="n">
        <x:f>S253-XLOOKUP(A253,Lotes!$A$4:$A$8,Lotes!$D$4:$D$8,Premissas!$B$9)-Q253-R253</x:f>
        <x:v>3104.473388429752</x:v>
      </x:c>
      <x:c r="V253" s="11" t="n">
        <x:f>U253*F253</x:f>
        <x:v>0</x:v>
      </x:c>
      <x:c r="W253" s="10" t="n">
        <x:f>IF(S253=0,0,U253/S253)</x:f>
        <x:v>0.7839579263711495</x:v>
      </x:c>
      <x:c r="X253" s="11" t="n">
        <x:f>IF(D253-G253&lt;=0,0,Q253/(D253-G253))</x:f>
        <x:v>106.940826446281</x:v>
      </x:c>
      <x:c r="Y253" s="10" t="n">
        <x:f>IFERROR(U253/(XLOOKUP(A253,Lotes!$A$4:$A$8,Lotes!$D$4:$D$8,Premissas!$B$9)+Q253+R253),0)</x:f>
        <x:v>3.62872802136657</x:v>
      </x:c>
      <x:c r="Z253" s="10" t="n">
        <x:f>IF(L253=0,Y253,Y253/MAX(1,L253/Premissas!$B$7))</x:f>
        <x:v>0.2494750514689517</x:v>
      </x:c>
      <x:c r="AA253" s="9" t="str">
        <x:f>IF(L253=0,"Venda imediata",IF(L253&lt;=60,"Baixo",IF(L253&lt;=120,"Médio","Alto")))</x:f>
        <x:v>Alto</x:v>
      </x:c>
      <x:c r="AB253" s="9" t="str">
        <x:f>IF(U253&lt;0,"Não fazer",IF(AA253="Alto","Risco seca",IF(Z253&gt;=0.03,"Bom giro","Margem ok")))</x:f>
        <x:v>Risco seca</x:v>
      </x:c>
    </x:row>
    <x:row r="254">
      <x:c r="A254" s="9" t="str">
        <x:v>Bezerras pequenas 4@</x:v>
      </x:c>
      <x:c r="B254" s="9" t="str">
        <x:v>Econômica</x:v>
      </x:c>
      <x:c r="C254" s="9" t="str">
        <x:v>Bom</x:v>
      </x:c>
      <x:c r="D254" s="9" t="n">
        <x:v>8.5</x:v>
      </x:c>
      <x:c r="E254" s="11" t="n">
        <x:f>Premissas!$B$6</x:f>
        <x:v>330</x:v>
      </x:c>
      <x:c r="F254" s="9" t="n">
        <x:f>XLOOKUP(A254,Lotes!$A$4:$A$8,Lotes!$B$4:$B$8,0)</x:f>
        <x:v>0</x:v>
      </x:c>
      <x:c r="G254" s="13" t="n">
        <x:f>XLOOKUP(A254,Lotes!$A$4:$A$8,Lotes!$C$4:$C$8,0)</x:f>
        <x:v>4</x:v>
      </x:c>
      <x:c r="H254" s="13" t="n">
        <x:f>G254*Premissas!$B$5/Premissas!$B$4</x:f>
        <x:v>109.09090909090908</x:v>
      </x:c>
      <x:c r="I254" s="13" t="n">
        <x:f>D254*Premissas!$B$5/Premissas!$B$4</x:f>
        <x:v>231.8181818181818</x:v>
      </x:c>
      <x:c r="J254" s="13" t="n">
        <x:f>MAX(0,I254-H254)</x:f>
        <x:v>122.72727272727273</x:v>
      </x:c>
      <x:c r="K254" s="13" t="n">
        <x:f>SUMIFS('Cenários de GMD'!$C$4:$C$19,'Cenários de GMD'!$A$4:$A$19,B254,'Cenários de GMD'!$B$4:$B$19,C254)</x:f>
        <x:v>0.6</x:v>
      </x:c>
      <x:c r="L254" s="13" t="n">
        <x:f>IF(J254=0,0,J254/K254)</x:f>
        <x:v>204.54545454545456</x:v>
      </x:c>
      <x:c r="M254" s="13" t="n">
        <x:f>((H254+I254)/2)*SUMIFS('Cenários de GMD'!$D$4:$D$19,'Cenários de GMD'!$A$4:$A$19,B254,'Cenários de GMD'!$B$4:$B$19,C254)</x:f>
        <x:v>0.17045454545454544</x:v>
      </x:c>
      <x:c r="N254" s="13" t="n">
        <x:f>((H254+I254)/2)*SUMIFS('Cenários de GMD'!$E$4:$E$19,'Cenários de GMD'!$A$4:$A$19,B254,'Cenários de GMD'!$B$4:$B$19,C254)</x:f>
        <x:v>0.5113636363636364</x:v>
      </x:c>
      <x:c r="O254" s="11" t="n">
        <x:f>M254*Insumos!$E$4+N254*Insumos!$E$5</x:f>
        <x:v>1.5317045454545455</x:v>
      </x:c>
      <x:c r="P254" s="11" t="n">
        <x:f>O254*Premissas!$B$7</x:f>
        <x:v>45.951136363636365</x:v>
      </x:c>
      <x:c r="Q254" s="11" t="n">
        <x:f>O254*L254</x:f>
        <x:v>313.3032024793389</x:v>
      </x:c>
      <x:c r="R254" s="11" t="n">
        <x:f>Premissas!$B$7*Premissas!$B$8*L254</x:f>
        <x:v>0</x:v>
      </x:c>
      <x:c r="S254" s="11" t="n">
        <x:f>D254*E254</x:f>
        <x:v>2805</x:v>
      </x:c>
      <x:c r="T254" s="11" t="n">
        <x:f>S254*F254</x:f>
        <x:v>0</x:v>
      </x:c>
      <x:c r="U254" s="11" t="n">
        <x:f>S254-XLOOKUP(A254,Lotes!$A$4:$A$8,Lotes!$D$4:$D$8,Premissas!$B$9)-Q254-R254</x:f>
        <x:v>2491.696797520661</x:v>
      </x:c>
      <x:c r="V254" s="11" t="n">
        <x:f>U254*F254</x:f>
        <x:v>0</x:v>
      </x:c>
      <x:c r="W254" s="10" t="n">
        <x:f>IF(S254=0,0,U254/S254)</x:f>
        <x:v>0.8883054536615548</x:v>
      </x:c>
      <x:c r="X254" s="11" t="n">
        <x:f>IF(D254-G254&lt;=0,0,Q254/(D254-G254))</x:f>
        <x:v>69.62293388429754</x:v>
      </x:c>
      <x:c r="Y254" s="10" t="n">
        <x:f>IFERROR(U254/(XLOOKUP(A254,Lotes!$A$4:$A$8,Lotes!$D$4:$D$8,Premissas!$B$9)+Q254+R254),0)</x:f>
        <x:v>7.952988599549916</x:v>
      </x:c>
      <x:c r="Z254" s="10" t="n">
        <x:f>IF(L254=0,Y254,Y254/MAX(1,L254/Premissas!$B$7))</x:f>
        <x:v>1.1664383279339876</x:v>
      </x:c>
      <x:c r="AA254" s="9" t="str">
        <x:f>IF(L254=0,"Venda imediata",IF(L254&lt;=60,"Baixo",IF(L254&lt;=120,"Médio","Alto")))</x:f>
        <x:v>Alto</x:v>
      </x:c>
      <x:c r="AB254" s="9" t="str">
        <x:f>IF(U254&lt;0,"Não fazer",IF(AA254="Alto","Risco seca",IF(Z254&gt;=0.03,"Bom giro","Margem ok")))</x:f>
        <x:v>Risco seca</x:v>
      </x:c>
    </x:row>
    <x:row r="255">
      <x:c r="A255" s="9" t="str">
        <x:v>Bezerras pequenas 4@</x:v>
      </x:c>
      <x:c r="B255" s="9" t="str">
        <x:v>Econômica</x:v>
      </x:c>
      <x:c r="C255" s="9" t="str">
        <x:v>Bom</x:v>
      </x:c>
      <x:c r="D255" s="9" t="n">
        <x:v>9</x:v>
      </x:c>
      <x:c r="E255" s="11" t="n">
        <x:f>Premissas!$B$6</x:f>
        <x:v>330</x:v>
      </x:c>
      <x:c r="F255" s="9" t="n">
        <x:f>XLOOKUP(A255,Lotes!$A$4:$A$8,Lotes!$B$4:$B$8,0)</x:f>
        <x:v>0</x:v>
      </x:c>
      <x:c r="G255" s="13" t="n">
        <x:f>XLOOKUP(A255,Lotes!$A$4:$A$8,Lotes!$C$4:$C$8,0)</x:f>
        <x:v>4</x:v>
      </x:c>
      <x:c r="H255" s="13" t="n">
        <x:f>G255*Premissas!$B$5/Premissas!$B$4</x:f>
        <x:v>109.09090909090908</x:v>
      </x:c>
      <x:c r="I255" s="13" t="n">
        <x:f>D255*Premissas!$B$5/Premissas!$B$4</x:f>
        <x:v>245.45454545454544</x:v>
      </x:c>
      <x:c r="J255" s="13" t="n">
        <x:f>MAX(0,I255-H255)</x:f>
        <x:v>136.36363636363637</x:v>
      </x:c>
      <x:c r="K255" s="13" t="n">
        <x:f>SUMIFS('Cenários de GMD'!$C$4:$C$19,'Cenários de GMD'!$A$4:$A$19,B255,'Cenários de GMD'!$B$4:$B$19,C255)</x:f>
        <x:v>0.6</x:v>
      </x:c>
      <x:c r="L255" s="13" t="n">
        <x:f>IF(J255=0,0,J255/K255)</x:f>
        <x:v>227.2727272727273</x:v>
      </x:c>
      <x:c r="M255" s="13" t="n">
        <x:f>((H255+I255)/2)*SUMIFS('Cenários de GMD'!$D$4:$D$19,'Cenários de GMD'!$A$4:$A$19,B255,'Cenários de GMD'!$B$4:$B$19,C255)</x:f>
        <x:v>0.17727272727272725</x:v>
      </x:c>
      <x:c r="N255" s="13" t="n">
        <x:f>((H255+I255)/2)*SUMIFS('Cenários de GMD'!$E$4:$E$19,'Cenários de GMD'!$A$4:$A$19,B255,'Cenários de GMD'!$B$4:$B$19,C255)</x:f>
        <x:v>0.5318181818181817</x:v>
      </x:c>
      <x:c r="O255" s="11" t="n">
        <x:f>M255*Insumos!$E$4+N255*Insumos!$E$5</x:f>
        <x:v>1.592972727272727</x:v>
      </x:c>
      <x:c r="P255" s="11" t="n">
        <x:f>O255*Premissas!$B$7</x:f>
        <x:v>47.78918181818181</x:v>
      </x:c>
      <x:c r="Q255" s="11" t="n">
        <x:f>O255*L255</x:f>
        <x:v>362.0392561983471</x:v>
      </x:c>
      <x:c r="R255" s="11" t="n">
        <x:f>Premissas!$B$7*Premissas!$B$8*L255</x:f>
        <x:v>0</x:v>
      </x:c>
      <x:c r="S255" s="11" t="n">
        <x:f>D255*E255</x:f>
        <x:v>2970</x:v>
      </x:c>
      <x:c r="T255" s="11" t="n">
        <x:f>S255*F255</x:f>
        <x:v>0</x:v>
      </x:c>
      <x:c r="U255" s="11" t="n">
        <x:f>S255-XLOOKUP(A255,Lotes!$A$4:$A$8,Lotes!$D$4:$D$8,Premissas!$B$9)-Q255-R255</x:f>
        <x:v>2607.960743801653</x:v>
      </x:c>
      <x:c r="V255" s="11" t="n">
        <x:f>U255*F255</x:f>
        <x:v>0</x:v>
      </x:c>
      <x:c r="W255" s="10" t="n">
        <x:f>IF(S255=0,0,U255/S255)</x:f>
        <x:v>0.8781012605392771</x:v>
      </x:c>
      <x:c r="X255" s="11" t="n">
        <x:f>IF(D255-G255&lt;=0,0,Q255/(D255-G255))</x:f>
        <x:v>72.40785123966943</x:v>
      </x:c>
      <x:c r="Y255" s="10" t="n">
        <x:f>IFERROR(U255/(XLOOKUP(A255,Lotes!$A$4:$A$8,Lotes!$D$4:$D$8,Premissas!$B$9)+Q255+R255),0)</x:f>
        <x:v>7.203530277868136</x:v>
      </x:c>
      <x:c r="Z255" s="10" t="n">
        <x:f>IF(L255=0,Y255,Y255/MAX(1,L255/Premissas!$B$7))</x:f>
        <x:v>0.9508659966785938</x:v>
      </x:c>
      <x:c r="AA255" s="9" t="str">
        <x:f>IF(L255=0,"Venda imediata",IF(L255&lt;=60,"Baixo",IF(L255&lt;=120,"Médio","Alto")))</x:f>
        <x:v>Alto</x:v>
      </x:c>
      <x:c r="AB255" s="9" t="str">
        <x:f>IF(U255&lt;0,"Não fazer",IF(AA255="Alto","Risco seca",IF(Z255&gt;=0.03,"Bom giro","Margem ok")))</x:f>
        <x:v>Risco seca</x:v>
      </x:c>
    </x:row>
    <x:row r="256">
      <x:c r="A256" s="9" t="str">
        <x:v>Bezerras pequenas 4@</x:v>
      </x:c>
      <x:c r="B256" s="9" t="str">
        <x:v>Econômica</x:v>
      </x:c>
      <x:c r="C256" s="9" t="str">
        <x:v>Bom</x:v>
      </x:c>
      <x:c r="D256" s="9" t="n">
        <x:v>10.5</x:v>
      </x:c>
      <x:c r="E256" s="11" t="n">
        <x:f>Premissas!$B$6</x:f>
        <x:v>330</x:v>
      </x:c>
      <x:c r="F256" s="9" t="n">
        <x:f>XLOOKUP(A256,Lotes!$A$4:$A$8,Lotes!$B$4:$B$8,0)</x:f>
        <x:v>0</x:v>
      </x:c>
      <x:c r="G256" s="13" t="n">
        <x:f>XLOOKUP(A256,Lotes!$A$4:$A$8,Lotes!$C$4:$C$8,0)</x:f>
        <x:v>4</x:v>
      </x:c>
      <x:c r="H256" s="13" t="n">
        <x:f>G256*Premissas!$B$5/Premissas!$B$4</x:f>
        <x:v>109.09090909090908</x:v>
      </x:c>
      <x:c r="I256" s="13" t="n">
        <x:f>D256*Premissas!$B$5/Premissas!$B$4</x:f>
        <x:v>286.3636363636363</x:v>
      </x:c>
      <x:c r="J256" s="13" t="n">
        <x:f>MAX(0,I256-H256)</x:f>
        <x:v>177.27272727272725</x:v>
      </x:c>
      <x:c r="K256" s="13" t="n">
        <x:f>SUMIFS('Cenários de GMD'!$C$4:$C$19,'Cenários de GMD'!$A$4:$A$19,B256,'Cenários de GMD'!$B$4:$B$19,C256)</x:f>
        <x:v>0.6</x:v>
      </x:c>
      <x:c r="L256" s="13" t="n">
        <x:f>IF(J256=0,0,J256/K256)</x:f>
        <x:v>295.45454545454544</x:v>
      </x:c>
      <x:c r="M256" s="13" t="n">
        <x:f>((H256+I256)/2)*SUMIFS('Cenários de GMD'!$D$4:$D$19,'Cenários de GMD'!$A$4:$A$19,B256,'Cenários de GMD'!$B$4:$B$19,C256)</x:f>
        <x:v>0.1977272727272727</x:v>
      </x:c>
      <x:c r="N256" s="13" t="n">
        <x:f>((H256+I256)/2)*SUMIFS('Cenários de GMD'!$E$4:$E$19,'Cenários de GMD'!$A$4:$A$19,B256,'Cenários de GMD'!$B$4:$B$19,C256)</x:f>
        <x:v>0.593181818181818</x:v>
      </x:c>
      <x:c r="O256" s="11" t="n">
        <x:f>M256*Insumos!$E$4+N256*Insumos!$E$5</x:f>
        <x:v>1.7767772727272724</x:v>
      </x:c>
      <x:c r="P256" s="11" t="n">
        <x:f>O256*Premissas!$B$7</x:f>
        <x:v>53.30331818181817</x:v>
      </x:c>
      <x:c r="Q256" s="11" t="n">
        <x:f>O256*L256</x:f>
        <x:v>524.9569214876032</x:v>
      </x:c>
      <x:c r="R256" s="11" t="n">
        <x:f>Premissas!$B$7*Premissas!$B$8*L256</x:f>
        <x:v>0</x:v>
      </x:c>
      <x:c r="S256" s="11" t="n">
        <x:f>D256*E256</x:f>
        <x:v>3465</x:v>
      </x:c>
      <x:c r="T256" s="11" t="n">
        <x:f>S256*F256</x:f>
        <x:v>0</x:v>
      </x:c>
      <x:c r="U256" s="11" t="n">
        <x:f>S256-XLOOKUP(A256,Lotes!$A$4:$A$8,Lotes!$D$4:$D$8,Premissas!$B$9)-Q256-R256</x:f>
        <x:v>2940.0430785123967</x:v>
      </x:c>
      <x:c r="V256" s="11" t="n">
        <x:f>U256*F256</x:f>
        <x:v>0</x:v>
      </x:c>
      <x:c r="W256" s="10" t="n">
        <x:f>IF(S256=0,0,U256/S256)</x:f>
        <x:v>0.8484972809559587</x:v>
      </x:c>
      <x:c r="X256" s="11" t="n">
        <x:f>IF(D256-G256&lt;=0,0,Q256/(D256-G256))</x:f>
        <x:v>80.7626033057851</x:v>
      </x:c>
      <x:c r="Y256" s="10" t="n">
        <x:f>IFERROR(U256/(XLOOKUP(A256,Lotes!$A$4:$A$8,Lotes!$D$4:$D$8,Premissas!$B$9)+Q256+R256),0)</x:f>
        <x:v>5.60054160288241</x:v>
      </x:c>
      <x:c r="Z256" s="10" t="n">
        <x:f>IF(L256=0,Y256,Y256/MAX(1,L256/Premissas!$B$7))</x:f>
        <x:v>0.5686703781388294</x:v>
      </x:c>
      <x:c r="AA256" s="9" t="str">
        <x:f>IF(L256=0,"Venda imediata",IF(L256&lt;=60,"Baixo",IF(L256&lt;=120,"Médio","Alto")))</x:f>
        <x:v>Alto</x:v>
      </x:c>
      <x:c r="AB256" s="9" t="str">
        <x:f>IF(U256&lt;0,"Não fazer",IF(AA256="Alto","Risco seca",IF(Z256&gt;=0.03,"Bom giro","Margem ok")))</x:f>
        <x:v>Risco seca</x:v>
      </x:c>
    </x:row>
    <x:row r="257">
      <x:c r="A257" s="9" t="str">
        <x:v>Bezerras pequenas 4@</x:v>
      </x:c>
      <x:c r="B257" s="9" t="str">
        <x:v>Econômica</x:v>
      </x:c>
      <x:c r="C257" s="9" t="str">
        <x:v>Bom</x:v>
      </x:c>
      <x:c r="D257" s="9" t="n">
        <x:v>11</x:v>
      </x:c>
      <x:c r="E257" s="11" t="n">
        <x:f>Premissas!$B$6</x:f>
        <x:v>330</x:v>
      </x:c>
      <x:c r="F257" s="9" t="n">
        <x:f>XLOOKUP(A257,Lotes!$A$4:$A$8,Lotes!$B$4:$B$8,0)</x:f>
        <x:v>0</x:v>
      </x:c>
      <x:c r="G257" s="13" t="n">
        <x:f>XLOOKUP(A257,Lotes!$A$4:$A$8,Lotes!$C$4:$C$8,0)</x:f>
        <x:v>4</x:v>
      </x:c>
      <x:c r="H257" s="13" t="n">
        <x:f>G257*Premissas!$B$5/Premissas!$B$4</x:f>
        <x:v>109.09090909090908</x:v>
      </x:c>
      <x:c r="I257" s="13" t="n">
        <x:f>D257*Premissas!$B$5/Premissas!$B$4</x:f>
        <x:v>300</x:v>
      </x:c>
      <x:c r="J257" s="13" t="n">
        <x:f>MAX(0,I257-H257)</x:f>
        <x:v>190.90909090909093</x:v>
      </x:c>
      <x:c r="K257" s="13" t="n">
        <x:f>SUMIFS('Cenários de GMD'!$C$4:$C$19,'Cenários de GMD'!$A$4:$A$19,B257,'Cenários de GMD'!$B$4:$B$19,C257)</x:f>
        <x:v>0.6</x:v>
      </x:c>
      <x:c r="L257" s="13" t="n">
        <x:f>IF(J257=0,0,J257/K257)</x:f>
        <x:v>318.18181818181824</x:v>
      </x:c>
      <x:c r="M257" s="13" t="n">
        <x:f>((H257+I257)/2)*SUMIFS('Cenários de GMD'!$D$4:$D$19,'Cenários de GMD'!$A$4:$A$19,B257,'Cenários de GMD'!$B$4:$B$19,C257)</x:f>
        <x:v>0.20454545454545453</x:v>
      </x:c>
      <x:c r="N257" s="13" t="n">
        <x:f>((H257+I257)/2)*SUMIFS('Cenários de GMD'!$E$4:$E$19,'Cenários de GMD'!$A$4:$A$19,B257,'Cenários de GMD'!$B$4:$B$19,C257)</x:f>
        <x:v>0.6136363636363636</x:v>
      </x:c>
      <x:c r="O257" s="11" t="n">
        <x:f>M257*Insumos!$E$4+N257*Insumos!$E$5</x:f>
        <x:v>1.8380454545454545</x:v>
      </x:c>
      <x:c r="P257" s="11" t="n">
        <x:f>O257*Premissas!$B$7</x:f>
        <x:v>55.141363636363636</x:v>
      </x:c>
      <x:c r="Q257" s="11" t="n">
        <x:f>O257*L257</x:f>
        <x:v>584.8326446280993</x:v>
      </x:c>
      <x:c r="R257" s="11" t="n">
        <x:f>Premissas!$B$7*Premissas!$B$8*L257</x:f>
        <x:v>0</x:v>
      </x:c>
      <x:c r="S257" s="11" t="n">
        <x:f>D257*E257</x:f>
        <x:v>3630</x:v>
      </x:c>
      <x:c r="T257" s="11" t="n">
        <x:f>S257*F257</x:f>
        <x:v>0</x:v>
      </x:c>
      <x:c r="U257" s="11" t="n">
        <x:f>S257-XLOOKUP(A257,Lotes!$A$4:$A$8,Lotes!$D$4:$D$8,Premissas!$B$9)-Q257-R257</x:f>
        <x:v>3045.1673553719006</x:v>
      </x:c>
      <x:c r="V257" s="11" t="n">
        <x:f>U257*F257</x:f>
        <x:v>0</x:v>
      </x:c>
      <x:c r="W257" s="10" t="n">
        <x:f>IF(S257=0,0,U257/S257)</x:f>
        <x:v>0.8388890786148486</x:v>
      </x:c>
      <x:c r="X257" s="11" t="n">
        <x:f>IF(D257-G257&lt;=0,0,Q257/(D257-G257))</x:f>
        <x:v>83.54752066115704</x:v>
      </x:c>
      <x:c r="Y257" s="10" t="n">
        <x:f>IFERROR(U257/(XLOOKUP(A257,Lotes!$A$4:$A$8,Lotes!$D$4:$D$8,Premissas!$B$9)+Q257+R257),0)</x:f>
        <x:v>5.2069038610325045</x:v>
      </x:c>
      <x:c r="Z257" s="10" t="n">
        <x:f>IF(L257=0,Y257,Y257/MAX(1,L257/Premissas!$B$7))</x:f>
        <x:v>0.49093664975449325</x:v>
      </x:c>
      <x:c r="AA257" s="9" t="str">
        <x:f>IF(L257=0,"Venda imediata",IF(L257&lt;=60,"Baixo",IF(L257&lt;=120,"Médio","Alto")))</x:f>
        <x:v>Alto</x:v>
      </x:c>
      <x:c r="AB257" s="9" t="str">
        <x:f>IF(U257&lt;0,"Não fazer",IF(AA257="Alto","Risco seca",IF(Z257&gt;=0.03,"Bom giro","Margem ok")))</x:f>
        <x:v>Risco seca</x:v>
      </x:c>
    </x:row>
    <x:row r="258">
      <x:c r="A258" s="9" t="str">
        <x:v>Bezerras pequenas 4@</x:v>
      </x:c>
      <x:c r="B258" s="9" t="str">
        <x:v>Econômica</x:v>
      </x:c>
      <x:c r="C258" s="9" t="str">
        <x:v>Bom</x:v>
      </x:c>
      <x:c r="D258" s="9" t="n">
        <x:v>12</x:v>
      </x:c>
      <x:c r="E258" s="11" t="n">
        <x:f>Premissas!$B$6</x:f>
        <x:v>330</x:v>
      </x:c>
      <x:c r="F258" s="9" t="n">
        <x:f>XLOOKUP(A258,Lotes!$A$4:$A$8,Lotes!$B$4:$B$8,0)</x:f>
        <x:v>0</x:v>
      </x:c>
      <x:c r="G258" s="13" t="n">
        <x:f>XLOOKUP(A258,Lotes!$A$4:$A$8,Lotes!$C$4:$C$8,0)</x:f>
        <x:v>4</x:v>
      </x:c>
      <x:c r="H258" s="13" t="n">
        <x:f>G258*Premissas!$B$5/Premissas!$B$4</x:f>
        <x:v>109.09090909090908</x:v>
      </x:c>
      <x:c r="I258" s="13" t="n">
        <x:f>D258*Premissas!$B$5/Premissas!$B$4</x:f>
        <x:v>327.27272727272725</x:v>
      </x:c>
      <x:c r="J258" s="13" t="n">
        <x:f>MAX(0,I258-H258)</x:f>
        <x:v>218.1818181818182</x:v>
      </x:c>
      <x:c r="K258" s="13" t="n">
        <x:f>SUMIFS('Cenários de GMD'!$C$4:$C$19,'Cenários de GMD'!$A$4:$A$19,B258,'Cenários de GMD'!$B$4:$B$19,C258)</x:f>
        <x:v>0.6</x:v>
      </x:c>
      <x:c r="L258" s="13" t="n">
        <x:f>IF(J258=0,0,J258/K258)</x:f>
        <x:v>363.6363636363637</x:v>
      </x:c>
      <x:c r="M258" s="13" t="n">
        <x:f>((H258+I258)/2)*SUMIFS('Cenários de GMD'!$D$4:$D$19,'Cenários de GMD'!$A$4:$A$19,B258,'Cenários de GMD'!$B$4:$B$19,C258)</x:f>
        <x:v>0.21818181818181817</x:v>
      </x:c>
      <x:c r="N258" s="13" t="n">
        <x:f>((H258+I258)/2)*SUMIFS('Cenários de GMD'!$E$4:$E$19,'Cenários de GMD'!$A$4:$A$19,B258,'Cenários de GMD'!$B$4:$B$19,C258)</x:f>
        <x:v>0.6545454545454545</x:v>
      </x:c>
      <x:c r="O258" s="11" t="n">
        <x:f>M258*Insumos!$E$4+N258*Insumos!$E$5</x:f>
        <x:v>1.9605818181818182</x:v>
      </x:c>
      <x:c r="P258" s="11" t="n">
        <x:f>O258*Premissas!$B$7</x:f>
        <x:v>58.817454545454545</x:v>
      </x:c>
      <x:c r="Q258" s="11" t="n">
        <x:f>O258*L258</x:f>
        <x:v>712.9388429752067</x:v>
      </x:c>
      <x:c r="R258" s="11" t="n">
        <x:f>Premissas!$B$7*Premissas!$B$8*L258</x:f>
        <x:v>0</x:v>
      </x:c>
      <x:c r="S258" s="11" t="n">
        <x:f>D258*E258</x:f>
        <x:v>3960</x:v>
      </x:c>
      <x:c r="T258" s="11" t="n">
        <x:f>S258*F258</x:f>
        <x:v>0</x:v>
      </x:c>
      <x:c r="U258" s="11" t="n">
        <x:f>S258-XLOOKUP(A258,Lotes!$A$4:$A$8,Lotes!$D$4:$D$8,Premissas!$B$9)-Q258-R258</x:f>
        <x:v>3247.0611570247934</x:v>
      </x:c>
      <x:c r="V258" s="11" t="n">
        <x:f>U258*F258</x:f>
        <x:v>0</x:v>
      </x:c>
      <x:c r="W258" s="10" t="n">
        <x:f>IF(S258=0,0,U258/S258)</x:f>
        <x:v>0.8199649386426245</x:v>
      </x:c>
      <x:c r="X258" s="11" t="n">
        <x:f>IF(D258-G258&lt;=0,0,Q258/(D258-G258))</x:f>
        <x:v>89.11735537190084</x:v>
      </x:c>
      <x:c r="Y258" s="10" t="n">
        <x:f>IFERROR(U258/(XLOOKUP(A258,Lotes!$A$4:$A$8,Lotes!$D$4:$D$8,Premissas!$B$9)+Q258+R258),0)</x:f>
        <x:v>4.554473625639884</x:v>
      </x:c>
      <x:c r="Z258" s="10" t="n">
        <x:f>IF(L258=0,Y258,Y258/MAX(1,L258/Premissas!$B$7))</x:f>
        <x:v>0.37574407411529037</x:v>
      </x:c>
      <x:c r="AA258" s="9" t="str">
        <x:f>IF(L258=0,"Venda imediata",IF(L258&lt;=60,"Baixo",IF(L258&lt;=120,"Médio","Alto")))</x:f>
        <x:v>Alto</x:v>
      </x:c>
      <x:c r="AB258" s="9" t="str">
        <x:f>IF(U258&lt;0,"Não fazer",IF(AA258="Alto","Risco seca",IF(Z258&gt;=0.03,"Bom giro","Margem ok")))</x:f>
        <x:v>Risco seca</x:v>
      </x:c>
    </x:row>
    <x:row r="259">
      <x:c r="A259" s="9" t="str">
        <x:v>Bezerras pequenas 4@</x:v>
      </x:c>
      <x:c r="B259" s="9" t="str">
        <x:v>Econômica</x:v>
      </x:c>
      <x:c r="C259" s="9" t="str">
        <x:v>Ótimo</x:v>
      </x:c>
      <x:c r="D259" s="9" t="n">
        <x:v>8.5</x:v>
      </x:c>
      <x:c r="E259" s="11" t="n">
        <x:f>Premissas!$B$6</x:f>
        <x:v>330</x:v>
      </x:c>
      <x:c r="F259" s="9" t="n">
        <x:f>XLOOKUP(A259,Lotes!$A$4:$A$8,Lotes!$B$4:$B$8,0)</x:f>
        <x:v>0</x:v>
      </x:c>
      <x:c r="G259" s="13" t="n">
        <x:f>XLOOKUP(A259,Lotes!$A$4:$A$8,Lotes!$C$4:$C$8,0)</x:f>
        <x:v>4</x:v>
      </x:c>
      <x:c r="H259" s="13" t="n">
        <x:f>G259*Premissas!$B$5/Premissas!$B$4</x:f>
        <x:v>109.09090909090908</x:v>
      </x:c>
      <x:c r="I259" s="13" t="n">
        <x:f>D259*Premissas!$B$5/Premissas!$B$4</x:f>
        <x:v>231.8181818181818</x:v>
      </x:c>
      <x:c r="J259" s="13" t="n">
        <x:f>MAX(0,I259-H259)</x:f>
        <x:v>122.72727272727273</x:v>
      </x:c>
      <x:c r="K259" s="13" t="n">
        <x:f>SUMIFS('Cenários de GMD'!$C$4:$C$19,'Cenários de GMD'!$A$4:$A$19,B259,'Cenários de GMD'!$B$4:$B$19,C259)</x:f>
        <x:v>0.7</x:v>
      </x:c>
      <x:c r="L259" s="13" t="n">
        <x:f>IF(J259=0,0,J259/K259)</x:f>
        <x:v>175.32467532467535</x:v>
      </x:c>
      <x:c r="M259" s="13" t="n">
        <x:f>((H259+I259)/2)*SUMIFS('Cenários de GMD'!$D$4:$D$19,'Cenários de GMD'!$A$4:$A$19,B259,'Cenários de GMD'!$B$4:$B$19,C259)</x:f>
        <x:v>0.17045454545454544</x:v>
      </x:c>
      <x:c r="N259" s="13" t="n">
        <x:f>((H259+I259)/2)*SUMIFS('Cenários de GMD'!$E$4:$E$19,'Cenários de GMD'!$A$4:$A$19,B259,'Cenários de GMD'!$B$4:$B$19,C259)</x:f>
        <x:v>0.5113636363636364</x:v>
      </x:c>
      <x:c r="O259" s="11" t="n">
        <x:f>M259*Insumos!$E$4+N259*Insumos!$E$5</x:f>
        <x:v>1.5317045454545455</x:v>
      </x:c>
      <x:c r="P259" s="11" t="n">
        <x:f>O259*Premissas!$B$7</x:f>
        <x:v>45.951136363636365</x:v>
      </x:c>
      <x:c r="Q259" s="11" t="n">
        <x:f>O259*L259</x:f>
        <x:v>268.54560212514764</x:v>
      </x:c>
      <x:c r="R259" s="11" t="n">
        <x:f>Premissas!$B$7*Premissas!$B$8*L259</x:f>
        <x:v>0</x:v>
      </x:c>
      <x:c r="S259" s="11" t="n">
        <x:f>D259*E259</x:f>
        <x:v>2805</x:v>
      </x:c>
      <x:c r="T259" s="11" t="n">
        <x:f>S259*F259</x:f>
        <x:v>0</x:v>
      </x:c>
      <x:c r="U259" s="11" t="n">
        <x:f>S259-XLOOKUP(A259,Lotes!$A$4:$A$8,Lotes!$D$4:$D$8,Premissas!$B$9)-Q259-R259</x:f>
        <x:v>2536.4543978748525</x:v>
      </x:c>
      <x:c r="V259" s="11" t="n">
        <x:f>U259*F259</x:f>
        <x:v>0</x:v>
      </x:c>
      <x:c r="W259" s="10" t="n">
        <x:f>IF(S259=0,0,U259/S259)</x:f>
        <x:v>0.9042618174241899</x:v>
      </x:c>
      <x:c r="X259" s="11" t="n">
        <x:f>IF(D259-G259&lt;=0,0,Q259/(D259-G259))</x:f>
        <x:v>59.67680047225503</x:v>
      </x:c>
      <x:c r="Y259" s="10" t="n">
        <x:f>IFERROR(U259/(XLOOKUP(A259,Lotes!$A$4:$A$8,Lotes!$D$4:$D$8,Premissas!$B$9)+Q259+R259),0)</x:f>
        <x:v>9.445153366141568</x:v>
      </x:c>
      <x:c r="Z259" s="10" t="n">
        <x:f>IF(L259=0,Y259,Y259/MAX(1,L259/Premissas!$B$7))</x:f>
        <x:v>1.6161706870953347</x:v>
      </x:c>
      <x:c r="AA259" s="9" t="str">
        <x:f>IF(L259=0,"Venda imediata",IF(L259&lt;=60,"Baixo",IF(L259&lt;=120,"Médio","Alto")))</x:f>
        <x:v>Alto</x:v>
      </x:c>
      <x:c r="AB259" s="9" t="str">
        <x:f>IF(U259&lt;0,"Não fazer",IF(AA259="Alto","Risco seca",IF(Z259&gt;=0.03,"Bom giro","Margem ok")))</x:f>
        <x:v>Risco seca</x:v>
      </x:c>
    </x:row>
    <x:row r="260">
      <x:c r="A260" s="9" t="str">
        <x:v>Bezerras pequenas 4@</x:v>
      </x:c>
      <x:c r="B260" s="9" t="str">
        <x:v>Econômica</x:v>
      </x:c>
      <x:c r="C260" s="9" t="str">
        <x:v>Ótimo</x:v>
      </x:c>
      <x:c r="D260" s="9" t="n">
        <x:v>9</x:v>
      </x:c>
      <x:c r="E260" s="11" t="n">
        <x:f>Premissas!$B$6</x:f>
        <x:v>330</x:v>
      </x:c>
      <x:c r="F260" s="9" t="n">
        <x:f>XLOOKUP(A260,Lotes!$A$4:$A$8,Lotes!$B$4:$B$8,0)</x:f>
        <x:v>0</x:v>
      </x:c>
      <x:c r="G260" s="13" t="n">
        <x:f>XLOOKUP(A260,Lotes!$A$4:$A$8,Lotes!$C$4:$C$8,0)</x:f>
        <x:v>4</x:v>
      </x:c>
      <x:c r="H260" s="13" t="n">
        <x:f>G260*Premissas!$B$5/Premissas!$B$4</x:f>
        <x:v>109.09090909090908</x:v>
      </x:c>
      <x:c r="I260" s="13" t="n">
        <x:f>D260*Premissas!$B$5/Premissas!$B$4</x:f>
        <x:v>245.45454545454544</x:v>
      </x:c>
      <x:c r="J260" s="13" t="n">
        <x:f>MAX(0,I260-H260)</x:f>
        <x:v>136.36363636363637</x:v>
      </x:c>
      <x:c r="K260" s="13" t="n">
        <x:f>SUMIFS('Cenários de GMD'!$C$4:$C$19,'Cenários de GMD'!$A$4:$A$19,B260,'Cenários de GMD'!$B$4:$B$19,C260)</x:f>
        <x:v>0.7</x:v>
      </x:c>
      <x:c r="L260" s="13" t="n">
        <x:f>IF(J260=0,0,J260/K260)</x:f>
        <x:v>194.80519480519484</x:v>
      </x:c>
      <x:c r="M260" s="13" t="n">
        <x:f>((H260+I260)/2)*SUMIFS('Cenários de GMD'!$D$4:$D$19,'Cenários de GMD'!$A$4:$A$19,B260,'Cenários de GMD'!$B$4:$B$19,C260)</x:f>
        <x:v>0.17727272727272725</x:v>
      </x:c>
      <x:c r="N260" s="13" t="n">
        <x:f>((H260+I260)/2)*SUMIFS('Cenários de GMD'!$E$4:$E$19,'Cenários de GMD'!$A$4:$A$19,B260,'Cenários de GMD'!$B$4:$B$19,C260)</x:f>
        <x:v>0.5318181818181817</x:v>
      </x:c>
      <x:c r="O260" s="11" t="n">
        <x:f>M260*Insumos!$E$4+N260*Insumos!$E$5</x:f>
        <x:v>1.592972727272727</x:v>
      </x:c>
      <x:c r="P260" s="11" t="n">
        <x:f>O260*Premissas!$B$7</x:f>
        <x:v>47.78918181818181</x:v>
      </x:c>
      <x:c r="Q260" s="11" t="n">
        <x:f>O260*L260</x:f>
        <x:v>310.3193624557261</x:v>
      </x:c>
      <x:c r="R260" s="11" t="n">
        <x:f>Premissas!$B$7*Premissas!$B$8*L260</x:f>
        <x:v>0</x:v>
      </x:c>
      <x:c r="S260" s="11" t="n">
        <x:f>D260*E260</x:f>
        <x:v>2970</x:v>
      </x:c>
      <x:c r="T260" s="11" t="n">
        <x:f>S260*F260</x:f>
        <x:v>0</x:v>
      </x:c>
      <x:c r="U260" s="11" t="n">
        <x:f>S260-XLOOKUP(A260,Lotes!$A$4:$A$8,Lotes!$D$4:$D$8,Premissas!$B$9)-Q260-R260</x:f>
        <x:v>2659.680637544274</x:v>
      </x:c>
      <x:c r="V260" s="11" t="n">
        <x:f>U260*F260</x:f>
        <x:v>0</x:v>
      </x:c>
      <x:c r="W260" s="10" t="n">
        <x:f>IF(S260=0,0,U260/S260)</x:f>
        <x:v>0.8955153661765232</x:v>
      </x:c>
      <x:c r="X260" s="11" t="n">
        <x:f>IF(D260-G260&lt;=0,0,Q260/(D260-G260))</x:f>
        <x:v>62.06387249114522</x:v>
      </x:c>
      <x:c r="Y260" s="10" t="n">
        <x:f>IFERROR(U260/(XLOOKUP(A260,Lotes!$A$4:$A$8,Lotes!$D$4:$D$8,Premissas!$B$9)+Q260+R260),0)</x:f>
        <x:v>8.570785324179493</x:v>
      </x:c>
      <x:c r="Z260" s="10" t="n">
        <x:f>IF(L260=0,Y260,Y260/MAX(1,L260/Premissas!$B$7))</x:f>
        <x:v>1.3199009399236417</x:v>
      </x:c>
      <x:c r="AA260" s="9" t="str">
        <x:f>IF(L260=0,"Venda imediata",IF(L260&lt;=60,"Baixo",IF(L260&lt;=120,"Médio","Alto")))</x:f>
        <x:v>Alto</x:v>
      </x:c>
      <x:c r="AB260" s="9" t="str">
        <x:f>IF(U260&lt;0,"Não fazer",IF(AA260="Alto","Risco seca",IF(Z260&gt;=0.03,"Bom giro","Margem ok")))</x:f>
        <x:v>Risco seca</x:v>
      </x:c>
    </x:row>
    <x:row r="261">
      <x:c r="A261" s="9" t="str">
        <x:v>Bezerras pequenas 4@</x:v>
      </x:c>
      <x:c r="B261" s="9" t="str">
        <x:v>Econômica</x:v>
      </x:c>
      <x:c r="C261" s="9" t="str">
        <x:v>Ótimo</x:v>
      </x:c>
      <x:c r="D261" s="9" t="n">
        <x:v>10.5</x:v>
      </x:c>
      <x:c r="E261" s="11" t="n">
        <x:f>Premissas!$B$6</x:f>
        <x:v>330</x:v>
      </x:c>
      <x:c r="F261" s="9" t="n">
        <x:f>XLOOKUP(A261,Lotes!$A$4:$A$8,Lotes!$B$4:$B$8,0)</x:f>
        <x:v>0</x:v>
      </x:c>
      <x:c r="G261" s="13" t="n">
        <x:f>XLOOKUP(A261,Lotes!$A$4:$A$8,Lotes!$C$4:$C$8,0)</x:f>
        <x:v>4</x:v>
      </x:c>
      <x:c r="H261" s="13" t="n">
        <x:f>G261*Premissas!$B$5/Premissas!$B$4</x:f>
        <x:v>109.09090909090908</x:v>
      </x:c>
      <x:c r="I261" s="13" t="n">
        <x:f>D261*Premissas!$B$5/Premissas!$B$4</x:f>
        <x:v>286.3636363636363</x:v>
      </x:c>
      <x:c r="J261" s="13" t="n">
        <x:f>MAX(0,I261-H261)</x:f>
        <x:v>177.27272727272725</x:v>
      </x:c>
      <x:c r="K261" s="13" t="n">
        <x:f>SUMIFS('Cenários de GMD'!$C$4:$C$19,'Cenários de GMD'!$A$4:$A$19,B261,'Cenários de GMD'!$B$4:$B$19,C261)</x:f>
        <x:v>0.7</x:v>
      </x:c>
      <x:c r="L261" s="13" t="n">
        <x:f>IF(J261=0,0,J261/K261)</x:f>
        <x:v>253.24675324675323</x:v>
      </x:c>
      <x:c r="M261" s="13" t="n">
        <x:f>((H261+I261)/2)*SUMIFS('Cenários de GMD'!$D$4:$D$19,'Cenários de GMD'!$A$4:$A$19,B261,'Cenários de GMD'!$B$4:$B$19,C261)</x:f>
        <x:v>0.1977272727272727</x:v>
      </x:c>
      <x:c r="N261" s="13" t="n">
        <x:f>((H261+I261)/2)*SUMIFS('Cenários de GMD'!$E$4:$E$19,'Cenários de GMD'!$A$4:$A$19,B261,'Cenários de GMD'!$B$4:$B$19,C261)</x:f>
        <x:v>0.593181818181818</x:v>
      </x:c>
      <x:c r="O261" s="11" t="n">
        <x:f>M261*Insumos!$E$4+N261*Insumos!$E$5</x:f>
        <x:v>1.7767772727272724</x:v>
      </x:c>
      <x:c r="P261" s="11" t="n">
        <x:f>O261*Premissas!$B$7</x:f>
        <x:v>53.30331818181817</x:v>
      </x:c>
      <x:c r="Q261" s="11" t="n">
        <x:f>O261*L261</x:f>
        <x:v>449.96307556080274</x:v>
      </x:c>
      <x:c r="R261" s="11" t="n">
        <x:f>Premissas!$B$7*Premissas!$B$8*L261</x:f>
        <x:v>0</x:v>
      </x:c>
      <x:c r="S261" s="11" t="n">
        <x:f>D261*E261</x:f>
        <x:v>3465</x:v>
      </x:c>
      <x:c r="T261" s="11" t="n">
        <x:f>S261*F261</x:f>
        <x:v>0</x:v>
      </x:c>
      <x:c r="U261" s="11" t="n">
        <x:f>S261-XLOOKUP(A261,Lotes!$A$4:$A$8,Lotes!$D$4:$D$8,Premissas!$B$9)-Q261-R261</x:f>
        <x:v>3015.0369244391973</x:v>
      </x:c>
      <x:c r="V261" s="11" t="n">
        <x:f>U261*F261</x:f>
        <x:v>0</x:v>
      </x:c>
      <x:c r="W261" s="10" t="n">
        <x:f>IF(S261=0,0,U261/S261)</x:f>
        <x:v>0.8701405265336789</x:v>
      </x:c>
      <x:c r="X261" s="11" t="n">
        <x:f>IF(D261-G261&lt;=0,0,Q261/(D261-G261))</x:f>
        <x:v>69.2250885478158</x:v>
      </x:c>
      <x:c r="Y261" s="10" t="n">
        <x:f>IFERROR(U261/(XLOOKUP(A261,Lotes!$A$4:$A$8,Lotes!$D$4:$D$8,Premissas!$B$9)+Q261+R261),0)</x:f>
        <x:v>6.700631870029479</x:v>
      </x:c>
      <x:c r="Z261" s="10" t="n">
        <x:f>IF(L261=0,Y261,Y261/MAX(1,L261/Premissas!$B$7))</x:f>
        <x:v>0.7937671599881077</x:v>
      </x:c>
      <x:c r="AA261" s="9" t="str">
        <x:f>IF(L261=0,"Venda imediata",IF(L261&lt;=60,"Baixo",IF(L261&lt;=120,"Médio","Alto")))</x:f>
        <x:v>Alto</x:v>
      </x:c>
      <x:c r="AB261" s="9" t="str">
        <x:f>IF(U261&lt;0,"Não fazer",IF(AA261="Alto","Risco seca",IF(Z261&gt;=0.03,"Bom giro","Margem ok")))</x:f>
        <x:v>Risco seca</x:v>
      </x:c>
    </x:row>
    <x:row r="262">
      <x:c r="A262" s="9" t="str">
        <x:v>Bezerras pequenas 4@</x:v>
      </x:c>
      <x:c r="B262" s="9" t="str">
        <x:v>Econômica</x:v>
      </x:c>
      <x:c r="C262" s="9" t="str">
        <x:v>Ótimo</x:v>
      </x:c>
      <x:c r="D262" s="9" t="n">
        <x:v>11</x:v>
      </x:c>
      <x:c r="E262" s="11" t="n">
        <x:f>Premissas!$B$6</x:f>
        <x:v>330</x:v>
      </x:c>
      <x:c r="F262" s="9" t="n">
        <x:f>XLOOKUP(A262,Lotes!$A$4:$A$8,Lotes!$B$4:$B$8,0)</x:f>
        <x:v>0</x:v>
      </x:c>
      <x:c r="G262" s="13" t="n">
        <x:f>XLOOKUP(A262,Lotes!$A$4:$A$8,Lotes!$C$4:$C$8,0)</x:f>
        <x:v>4</x:v>
      </x:c>
      <x:c r="H262" s="13" t="n">
        <x:f>G262*Premissas!$B$5/Premissas!$B$4</x:f>
        <x:v>109.09090909090908</x:v>
      </x:c>
      <x:c r="I262" s="13" t="n">
        <x:f>D262*Premissas!$B$5/Premissas!$B$4</x:f>
        <x:v>300</x:v>
      </x:c>
      <x:c r="J262" s="13" t="n">
        <x:f>MAX(0,I262-H262)</x:f>
        <x:v>190.90909090909093</x:v>
      </x:c>
      <x:c r="K262" s="13" t="n">
        <x:f>SUMIFS('Cenários de GMD'!$C$4:$C$19,'Cenários de GMD'!$A$4:$A$19,B262,'Cenários de GMD'!$B$4:$B$19,C262)</x:f>
        <x:v>0.7</x:v>
      </x:c>
      <x:c r="L262" s="13" t="n">
        <x:f>IF(J262=0,0,J262/K262)</x:f>
        <x:v>272.7272727272728</x:v>
      </x:c>
      <x:c r="M262" s="13" t="n">
        <x:f>((H262+I262)/2)*SUMIFS('Cenários de GMD'!$D$4:$D$19,'Cenários de GMD'!$A$4:$A$19,B262,'Cenários de GMD'!$B$4:$B$19,C262)</x:f>
        <x:v>0.20454545454545453</x:v>
      </x:c>
      <x:c r="N262" s="13" t="n">
        <x:f>((H262+I262)/2)*SUMIFS('Cenários de GMD'!$E$4:$E$19,'Cenários de GMD'!$A$4:$A$19,B262,'Cenários de GMD'!$B$4:$B$19,C262)</x:f>
        <x:v>0.6136363636363636</x:v>
      </x:c>
      <x:c r="O262" s="11" t="n">
        <x:f>M262*Insumos!$E$4+N262*Insumos!$E$5</x:f>
        <x:v>1.8380454545454545</x:v>
      </x:c>
      <x:c r="P262" s="11" t="n">
        <x:f>O262*Premissas!$B$7</x:f>
        <x:v>55.141363636363636</x:v>
      </x:c>
      <x:c r="Q262" s="11" t="n">
        <x:f>O262*L262</x:f>
        <x:v>501.2851239669423</x:v>
      </x:c>
      <x:c r="R262" s="11" t="n">
        <x:f>Premissas!$B$7*Premissas!$B$8*L262</x:f>
        <x:v>0</x:v>
      </x:c>
      <x:c r="S262" s="11" t="n">
        <x:f>D262*E262</x:f>
        <x:v>3630</x:v>
      </x:c>
      <x:c r="T262" s="11" t="n">
        <x:f>S262*F262</x:f>
        <x:v>0</x:v>
      </x:c>
      <x:c r="U262" s="11" t="n">
        <x:f>S262-XLOOKUP(A262,Lotes!$A$4:$A$8,Lotes!$D$4:$D$8,Premissas!$B$9)-Q262-R262</x:f>
        <x:v>3128.714876033058</x:v>
      </x:c>
      <x:c r="V262" s="11" t="n">
        <x:f>U262*F262</x:f>
        <x:v>0</x:v>
      </x:c>
      <x:c r="W262" s="10" t="n">
        <x:f>IF(S262=0,0,U262/S262)</x:f>
        <x:v>0.8619049245270132</x:v>
      </x:c>
      <x:c r="X262" s="11" t="n">
        <x:f>IF(D262-G262&lt;=0,0,Q262/(D262-G262))</x:f>
        <x:v>71.61216056670604</x:v>
      </x:c>
      <x:c r="Y262" s="10" t="n">
        <x:f>IFERROR(U262/(XLOOKUP(A262,Lotes!$A$4:$A$8,Lotes!$D$4:$D$8,Premissas!$B$9)+Q262+R262),0)</x:f>
        <x:v>6.241387837871255</x:v>
      </x:c>
      <x:c r="Z262" s="10" t="n">
        <x:f>IF(L262=0,Y262,Y262/MAX(1,L262/Premissas!$B$7))</x:f>
        <x:v>0.6865526621658378</x:v>
      </x:c>
      <x:c r="AA262" s="9" t="str">
        <x:f>IF(L262=0,"Venda imediata",IF(L262&lt;=60,"Baixo",IF(L262&lt;=120,"Médio","Alto")))</x:f>
        <x:v>Alto</x:v>
      </x:c>
      <x:c r="AB262" s="9" t="str">
        <x:f>IF(U262&lt;0,"Não fazer",IF(AA262="Alto","Risco seca",IF(Z262&gt;=0.03,"Bom giro","Margem ok")))</x:f>
        <x:v>Risco seca</x:v>
      </x:c>
    </x:row>
    <x:row r="263">
      <x:c r="A263" s="9" t="str">
        <x:v>Bezerras pequenas 4@</x:v>
      </x:c>
      <x:c r="B263" s="9" t="str">
        <x:v>Econômica</x:v>
      </x:c>
      <x:c r="C263" s="9" t="str">
        <x:v>Ótimo</x:v>
      </x:c>
      <x:c r="D263" s="9" t="n">
        <x:v>12</x:v>
      </x:c>
      <x:c r="E263" s="11" t="n">
        <x:f>Premissas!$B$6</x:f>
        <x:v>330</x:v>
      </x:c>
      <x:c r="F263" s="9" t="n">
        <x:f>XLOOKUP(A263,Lotes!$A$4:$A$8,Lotes!$B$4:$B$8,0)</x:f>
        <x:v>0</x:v>
      </x:c>
      <x:c r="G263" s="13" t="n">
        <x:f>XLOOKUP(A263,Lotes!$A$4:$A$8,Lotes!$C$4:$C$8,0)</x:f>
        <x:v>4</x:v>
      </x:c>
      <x:c r="H263" s="13" t="n">
        <x:f>G263*Premissas!$B$5/Premissas!$B$4</x:f>
        <x:v>109.09090909090908</x:v>
      </x:c>
      <x:c r="I263" s="13" t="n">
        <x:f>D263*Premissas!$B$5/Premissas!$B$4</x:f>
        <x:v>327.27272727272725</x:v>
      </x:c>
      <x:c r="J263" s="13" t="n">
        <x:f>MAX(0,I263-H263)</x:f>
        <x:v>218.1818181818182</x:v>
      </x:c>
      <x:c r="K263" s="13" t="n">
        <x:f>SUMIFS('Cenários de GMD'!$C$4:$C$19,'Cenários de GMD'!$A$4:$A$19,B263,'Cenários de GMD'!$B$4:$B$19,C263)</x:f>
        <x:v>0.7</x:v>
      </x:c>
      <x:c r="L263" s="13" t="n">
        <x:f>IF(J263=0,0,J263/K263)</x:f>
        <x:v>311.6883116883117</x:v>
      </x:c>
      <x:c r="M263" s="13" t="n">
        <x:f>((H263+I263)/2)*SUMIFS('Cenários de GMD'!$D$4:$D$19,'Cenários de GMD'!$A$4:$A$19,B263,'Cenários de GMD'!$B$4:$B$19,C263)</x:f>
        <x:v>0.21818181818181817</x:v>
      </x:c>
      <x:c r="N263" s="13" t="n">
        <x:f>((H263+I263)/2)*SUMIFS('Cenários de GMD'!$E$4:$E$19,'Cenários de GMD'!$A$4:$A$19,B263,'Cenários de GMD'!$B$4:$B$19,C263)</x:f>
        <x:v>0.6545454545454545</x:v>
      </x:c>
      <x:c r="O263" s="11" t="n">
        <x:f>M263*Insumos!$E$4+N263*Insumos!$E$5</x:f>
        <x:v>1.9605818181818182</x:v>
      </x:c>
      <x:c r="P263" s="11" t="n">
        <x:f>O263*Premissas!$B$7</x:f>
        <x:v>58.817454545454545</x:v>
      </x:c>
      <x:c r="Q263" s="11" t="n">
        <x:f>O263*L263</x:f>
        <x:v>611.0904368358914</x:v>
      </x:c>
      <x:c r="R263" s="11" t="n">
        <x:f>Premissas!$B$7*Premissas!$B$8*L263</x:f>
        <x:v>0</x:v>
      </x:c>
      <x:c r="S263" s="11" t="n">
        <x:f>D263*E263</x:f>
        <x:v>3960</x:v>
      </x:c>
      <x:c r="T263" s="11" t="n">
        <x:f>S263*F263</x:f>
        <x:v>0</x:v>
      </x:c>
      <x:c r="U263" s="11" t="n">
        <x:f>S263-XLOOKUP(A263,Lotes!$A$4:$A$8,Lotes!$D$4:$D$8,Premissas!$B$9)-Q263-R263</x:f>
        <x:v>3348.9095631641085</x:v>
      </x:c>
      <x:c r="V263" s="11" t="n">
        <x:f>U263*F263</x:f>
        <x:v>0</x:v>
      </x:c>
      <x:c r="W263" s="10" t="n">
        <x:f>IF(S263=0,0,U263/S263)</x:f>
        <x:v>0.8456842331222496</x:v>
      </x:c>
      <x:c r="X263" s="11" t="n">
        <x:f>IF(D263-G263&lt;=0,0,Q263/(D263-G263))</x:f>
        <x:v>76.38630460448643</x:v>
      </x:c>
      <x:c r="Y263" s="10" t="n">
        <x:f>IFERROR(U263/(XLOOKUP(A263,Lotes!$A$4:$A$8,Lotes!$D$4:$D$8,Premissas!$B$9)+Q263+R263),0)</x:f>
        <x:v>5.480219229913198</x:v>
      </x:c>
      <x:c r="Z263" s="10" t="n">
        <x:f>IF(L263=0,Y263,Y263/MAX(1,L263/Premissas!$B$7))</x:f>
        <x:v>0.5274711008791452</x:v>
      </x:c>
      <x:c r="AA263" s="9" t="str">
        <x:f>IF(L263=0,"Venda imediata",IF(L263&lt;=60,"Baixo",IF(L263&lt;=120,"Médio","Alto")))</x:f>
        <x:v>Alto</x:v>
      </x:c>
      <x:c r="AB263" s="9" t="str">
        <x:f>IF(U263&lt;0,"Não fazer",IF(AA263="Alto","Risco seca",IF(Z263&gt;=0.03,"Bom giro","Margem ok")))</x:f>
        <x:v>Risco seca</x:v>
      </x:c>
    </x:row>
    <x:row r="264">
      <x:c r="A264" s="9" t="str">
        <x:v>Bezerras pequenas 4@</x:v>
      </x:c>
      <x:c r="B264" s="9" t="str">
        <x:v>Intermediária</x:v>
      </x:c>
      <x:c r="C264" s="9" t="str">
        <x:v>Conservador</x:v>
      </x:c>
      <x:c r="D264" s="9" t="n">
        <x:v>8.5</x:v>
      </x:c>
      <x:c r="E264" s="11" t="n">
        <x:f>Premissas!$B$6</x:f>
        <x:v>330</x:v>
      </x:c>
      <x:c r="F264" s="9" t="n">
        <x:f>XLOOKUP(A264,Lotes!$A$4:$A$8,Lotes!$B$4:$B$8,0)</x:f>
        <x:v>0</x:v>
      </x:c>
      <x:c r="G264" s="13" t="n">
        <x:f>XLOOKUP(A264,Lotes!$A$4:$A$8,Lotes!$C$4:$C$8,0)</x:f>
        <x:v>4</x:v>
      </x:c>
      <x:c r="H264" s="13" t="n">
        <x:f>G264*Premissas!$B$5/Premissas!$B$4</x:f>
        <x:v>109.09090909090908</x:v>
      </x:c>
      <x:c r="I264" s="13" t="n">
        <x:f>D264*Premissas!$B$5/Premissas!$B$4</x:f>
        <x:v>231.8181818181818</x:v>
      </x:c>
      <x:c r="J264" s="13" t="n">
        <x:f>MAX(0,I264-H264)</x:f>
        <x:v>122.72727272727273</x:v>
      </x:c>
      <x:c r="K264" s="13" t="n">
        <x:f>SUMIFS('Cenários de GMD'!$C$4:$C$19,'Cenários de GMD'!$A$4:$A$19,B264,'Cenários de GMD'!$B$4:$B$19,C264)</x:f>
        <x:v>0.55</x:v>
      </x:c>
      <x:c r="L264" s="13" t="n">
        <x:f>IF(J264=0,0,J264/K264)</x:f>
        <x:v>223.14049586776858</x:v>
      </x:c>
      <x:c r="M264" s="13" t="n">
        <x:f>((H264+I264)/2)*SUMIFS('Cenários de GMD'!$D$4:$D$19,'Cenários de GMD'!$A$4:$A$19,B264,'Cenários de GMD'!$B$4:$B$19,C264)</x:f>
        <x:v>0.17045454545454544</x:v>
      </x:c>
      <x:c r="N264" s="13" t="n">
        <x:f>((H264+I264)/2)*SUMIFS('Cenários de GMD'!$E$4:$E$19,'Cenários de GMD'!$A$4:$A$19,B264,'Cenários de GMD'!$B$4:$B$19,C264)</x:f>
        <x:v>0.8522727272727272</x:v>
      </x:c>
      <x:c r="O264" s="11" t="n">
        <x:f>M264*Insumos!$E$4+N264*Insumos!$E$5</x:f>
        <x:v>2.207840909090909</x:v>
      </x:c>
      <x:c r="P264" s="11" t="n">
        <x:f>O264*Premissas!$B$7</x:f>
        <x:v>66.23522727272726</x:v>
      </x:c>
      <x:c r="Q264" s="11" t="n">
        <x:f>O264*L264</x:f>
        <x:v>492.65871525169035</x:v>
      </x:c>
      <x:c r="R264" s="11" t="n">
        <x:f>Premissas!$B$7*Premissas!$B$8*L264</x:f>
        <x:v>0</x:v>
      </x:c>
      <x:c r="S264" s="11" t="n">
        <x:f>D264*E264</x:f>
        <x:v>2805</x:v>
      </x:c>
      <x:c r="T264" s="11" t="n">
        <x:f>S264*F264</x:f>
        <x:v>0</x:v>
      </x:c>
      <x:c r="U264" s="11" t="n">
        <x:f>S264-XLOOKUP(A264,Lotes!$A$4:$A$8,Lotes!$D$4:$D$8,Premissas!$B$9)-Q264-R264</x:f>
        <x:v>2312.3412847483096</x:v>
      </x:c>
      <x:c r="V264" s="11" t="n">
        <x:f>U264*F264</x:f>
        <x:v>0</x:v>
      </x:c>
      <x:c r="W264" s="10" t="n">
        <x:f>IF(S264=0,0,U264/S264)</x:f>
        <x:v>0.8243640943844242</x:v>
      </x:c>
      <x:c r="X264" s="11" t="n">
        <x:f>IF(D264-G264&lt;=0,0,Q264/(D264-G264))</x:f>
        <x:v>109.47971450037564</x:v>
      </x:c>
      <x:c r="Y264" s="10" t="n">
        <x:f>IFERROR(U264/(XLOOKUP(A264,Lotes!$A$4:$A$8,Lotes!$D$4:$D$8,Premissas!$B$9)+Q264+R264),0)</x:f>
        <x:v>4.6935966281789545</x:v>
      </x:c>
      <x:c r="Z264" s="10" t="n">
        <x:f>IF(L264=0,Y264,Y264/MAX(1,L264/Premissas!$B$7))</x:f>
        <x:v>0.6310279911218373</x:v>
      </x:c>
      <x:c r="AA264" s="9" t="str">
        <x:f>IF(L264=0,"Venda imediata",IF(L264&lt;=60,"Baixo",IF(L264&lt;=120,"Médio","Alto")))</x:f>
        <x:v>Alto</x:v>
      </x:c>
      <x:c r="AB264" s="9" t="str">
        <x:f>IF(U264&lt;0,"Não fazer",IF(AA264="Alto","Risco seca",IF(Z264&gt;=0.03,"Bom giro","Margem ok")))</x:f>
        <x:v>Risco seca</x:v>
      </x:c>
    </x:row>
    <x:row r="265">
      <x:c r="A265" s="9" t="str">
        <x:v>Bezerras pequenas 4@</x:v>
      </x:c>
      <x:c r="B265" s="9" t="str">
        <x:v>Intermediária</x:v>
      </x:c>
      <x:c r="C265" s="9" t="str">
        <x:v>Conservador</x:v>
      </x:c>
      <x:c r="D265" s="9" t="n">
        <x:v>9</x:v>
      </x:c>
      <x:c r="E265" s="11" t="n">
        <x:f>Premissas!$B$6</x:f>
        <x:v>330</x:v>
      </x:c>
      <x:c r="F265" s="9" t="n">
        <x:f>XLOOKUP(A265,Lotes!$A$4:$A$8,Lotes!$B$4:$B$8,0)</x:f>
        <x:v>0</x:v>
      </x:c>
      <x:c r="G265" s="13" t="n">
        <x:f>XLOOKUP(A265,Lotes!$A$4:$A$8,Lotes!$C$4:$C$8,0)</x:f>
        <x:v>4</x:v>
      </x:c>
      <x:c r="H265" s="13" t="n">
        <x:f>G265*Premissas!$B$5/Premissas!$B$4</x:f>
        <x:v>109.09090909090908</x:v>
      </x:c>
      <x:c r="I265" s="13" t="n">
        <x:f>D265*Premissas!$B$5/Premissas!$B$4</x:f>
        <x:v>245.45454545454544</x:v>
      </x:c>
      <x:c r="J265" s="13" t="n">
        <x:f>MAX(0,I265-H265)</x:f>
        <x:v>136.36363636363637</x:v>
      </x:c>
      <x:c r="K265" s="13" t="n">
        <x:f>SUMIFS('Cenários de GMD'!$C$4:$C$19,'Cenários de GMD'!$A$4:$A$19,B265,'Cenários de GMD'!$B$4:$B$19,C265)</x:f>
        <x:v>0.55</x:v>
      </x:c>
      <x:c r="L265" s="13" t="n">
        <x:f>IF(J265=0,0,J265/K265)</x:f>
        <x:v>247.93388429752065</x:v>
      </x:c>
      <x:c r="M265" s="13" t="n">
        <x:f>((H265+I265)/2)*SUMIFS('Cenários de GMD'!$D$4:$D$19,'Cenários de GMD'!$A$4:$A$19,B265,'Cenários de GMD'!$B$4:$B$19,C265)</x:f>
        <x:v>0.17727272727272725</x:v>
      </x:c>
      <x:c r="N265" s="13" t="n">
        <x:f>((H265+I265)/2)*SUMIFS('Cenários de GMD'!$E$4:$E$19,'Cenários de GMD'!$A$4:$A$19,B265,'Cenários de GMD'!$B$4:$B$19,C265)</x:f>
        <x:v>0.8863636363636362</x:v>
      </x:c>
      <x:c r="O265" s="11" t="n">
        <x:f>M265*Insumos!$E$4+N265*Insumos!$E$5</x:f>
        <x:v>2.296154545454545</x:v>
      </x:c>
      <x:c r="P265" s="11" t="n">
        <x:f>O265*Premissas!$B$7</x:f>
        <x:v>68.88463636363636</x:v>
      </x:c>
      <x:c r="Q265" s="11" t="n">
        <x:f>O265*L265</x:f>
        <x:v>569.2945154019533</x:v>
      </x:c>
      <x:c r="R265" s="11" t="n">
        <x:f>Premissas!$B$7*Premissas!$B$8*L265</x:f>
        <x:v>0</x:v>
      </x:c>
      <x:c r="S265" s="11" t="n">
        <x:f>D265*E265</x:f>
        <x:v>2970</x:v>
      </x:c>
      <x:c r="T265" s="11" t="n">
        <x:f>S265*F265</x:f>
        <x:v>0</x:v>
      </x:c>
      <x:c r="U265" s="11" t="n">
        <x:f>S265-XLOOKUP(A265,Lotes!$A$4:$A$8,Lotes!$D$4:$D$8,Premissas!$B$9)-Q265-R265</x:f>
        <x:v>2400.7054845980465</x:v>
      </x:c>
      <x:c r="V265" s="11" t="n">
        <x:f>U265*F265</x:f>
        <x:v>0</x:v>
      </x:c>
      <x:c r="W265" s="10" t="n">
        <x:f>IF(S265=0,0,U265/S265)</x:f>
        <x:v>0.8083183449825072</x:v>
      </x:c>
      <x:c r="X265" s="11" t="n">
        <x:f>IF(D265-G265&lt;=0,0,Q265/(D265-G265))</x:f>
        <x:v>113.85890308039066</x:v>
      </x:c>
      <x:c r="Y265" s="10" t="n">
        <x:f>IFERROR(U265/(XLOOKUP(A265,Lotes!$A$4:$A$8,Lotes!$D$4:$D$8,Premissas!$B$9)+Q265+R265),0)</x:f>
        <x:v>4.216983335774834</x:v>
      </x:c>
      <x:c r="Z265" s="10" t="n">
        <x:f>IF(L265=0,Y265,Y265/MAX(1,L265/Premissas!$B$7))</x:f>
        <x:v>0.5102549836287549</x:v>
      </x:c>
      <x:c r="AA265" s="9" t="str">
        <x:f>IF(L265=0,"Venda imediata",IF(L265&lt;=60,"Baixo",IF(L265&lt;=120,"Médio","Alto")))</x:f>
        <x:v>Alto</x:v>
      </x:c>
      <x:c r="AB265" s="9" t="str">
        <x:f>IF(U265&lt;0,"Não fazer",IF(AA265="Alto","Risco seca",IF(Z265&gt;=0.03,"Bom giro","Margem ok")))</x:f>
        <x:v>Risco seca</x:v>
      </x:c>
    </x:row>
    <x:row r="266">
      <x:c r="A266" s="9" t="str">
        <x:v>Bezerras pequenas 4@</x:v>
      </x:c>
      <x:c r="B266" s="9" t="str">
        <x:v>Intermediária</x:v>
      </x:c>
      <x:c r="C266" s="9" t="str">
        <x:v>Conservador</x:v>
      </x:c>
      <x:c r="D266" s="9" t="n">
        <x:v>10.5</x:v>
      </x:c>
      <x:c r="E266" s="11" t="n">
        <x:f>Premissas!$B$6</x:f>
        <x:v>330</x:v>
      </x:c>
      <x:c r="F266" s="9" t="n">
        <x:f>XLOOKUP(A266,Lotes!$A$4:$A$8,Lotes!$B$4:$B$8,0)</x:f>
        <x:v>0</x:v>
      </x:c>
      <x:c r="G266" s="13" t="n">
        <x:f>XLOOKUP(A266,Lotes!$A$4:$A$8,Lotes!$C$4:$C$8,0)</x:f>
        <x:v>4</x:v>
      </x:c>
      <x:c r="H266" s="13" t="n">
        <x:f>G266*Premissas!$B$5/Premissas!$B$4</x:f>
        <x:v>109.09090909090908</x:v>
      </x:c>
      <x:c r="I266" s="13" t="n">
        <x:f>D266*Premissas!$B$5/Premissas!$B$4</x:f>
        <x:v>286.3636363636363</x:v>
      </x:c>
      <x:c r="J266" s="13" t="n">
        <x:f>MAX(0,I266-H266)</x:f>
        <x:v>177.27272727272725</x:v>
      </x:c>
      <x:c r="K266" s="13" t="n">
        <x:f>SUMIFS('Cenários de GMD'!$C$4:$C$19,'Cenários de GMD'!$A$4:$A$19,B266,'Cenários de GMD'!$B$4:$B$19,C266)</x:f>
        <x:v>0.55</x:v>
      </x:c>
      <x:c r="L266" s="13" t="n">
        <x:f>IF(J266=0,0,J266/K266)</x:f>
        <x:v>322.3140495867768</x:v>
      </x:c>
      <x:c r="M266" s="13" t="n">
        <x:f>((H266+I266)/2)*SUMIFS('Cenários de GMD'!$D$4:$D$19,'Cenários de GMD'!$A$4:$A$19,B266,'Cenários de GMD'!$B$4:$B$19,C266)</x:f>
        <x:v>0.1977272727272727</x:v>
      </x:c>
      <x:c r="N266" s="13" t="n">
        <x:f>((H266+I266)/2)*SUMIFS('Cenários de GMD'!$E$4:$E$19,'Cenários de GMD'!$A$4:$A$19,B266,'Cenários de GMD'!$B$4:$B$19,C266)</x:f>
        <x:v>0.9886363636363634</x:v>
      </x:c>
      <x:c r="O266" s="11" t="n">
        <x:f>M266*Insumos!$E$4+N266*Insumos!$E$5</x:f>
        <x:v>2.561095454545454</x:v>
      </x:c>
      <x:c r="P266" s="11" t="n">
        <x:f>O266*Premissas!$B$7</x:f>
        <x:v>76.83286363636363</x:v>
      </x:c>
      <x:c r="Q266" s="11" t="n">
        <x:f>O266*L266</x:f>
        <x:v>825.4770473328321</x:v>
      </x:c>
      <x:c r="R266" s="11" t="n">
        <x:f>Premissas!$B$7*Premissas!$B$8*L266</x:f>
        <x:v>0</x:v>
      </x:c>
      <x:c r="S266" s="11" t="n">
        <x:f>D266*E266</x:f>
        <x:v>3465</x:v>
      </x:c>
      <x:c r="T266" s="11" t="n">
        <x:f>S266*F266</x:f>
        <x:v>0</x:v>
      </x:c>
      <x:c r="U266" s="11" t="n">
        <x:f>S266-XLOOKUP(A266,Lotes!$A$4:$A$8,Lotes!$D$4:$D$8,Premissas!$B$9)-Q266-R266</x:f>
        <x:v>2639.522952667168</x:v>
      </x:c>
      <x:c r="V266" s="11" t="n">
        <x:f>U266*F266</x:f>
        <x:v>0</x:v>
      </x:c>
      <x:c r="W266" s="10" t="n">
        <x:f>IF(S266=0,0,U266/S266)</x:f>
        <x:v>0.7617670859068305</x:v>
      </x:c>
      <x:c r="X266" s="11" t="n">
        <x:f>IF(D266-G266&lt;=0,0,Q266/(D266-G266))</x:f>
        <x:v>126.9964688204357</x:v>
      </x:c>
      <x:c r="Y266" s="10" t="n">
        <x:f>IFERROR(U266/(XLOOKUP(A266,Lotes!$A$4:$A$8,Lotes!$D$4:$D$8,Premissas!$B$9)+Q266+R266),0)</x:f>
        <x:v>3.197572798899293</x:v>
      </x:c>
      <x:c r="Z266" s="10" t="n">
        <x:f>IF(L266=0,Y266,Y266/MAX(1,L266/Premissas!$B$7))</x:f>
        <x:v>0.2976202374360112</x:v>
      </x:c>
      <x:c r="AA266" s="9" t="str">
        <x:f>IF(L266=0,"Venda imediata",IF(L266&lt;=60,"Baixo",IF(L266&lt;=120,"Médio","Alto")))</x:f>
        <x:v>Alto</x:v>
      </x:c>
      <x:c r="AB266" s="9" t="str">
        <x:f>IF(U266&lt;0,"Não fazer",IF(AA266="Alto","Risco seca",IF(Z266&gt;=0.03,"Bom giro","Margem ok")))</x:f>
        <x:v>Risco seca</x:v>
      </x:c>
    </x:row>
    <x:row r="267">
      <x:c r="A267" s="9" t="str">
        <x:v>Bezerras pequenas 4@</x:v>
      </x:c>
      <x:c r="B267" s="9" t="str">
        <x:v>Intermediária</x:v>
      </x:c>
      <x:c r="C267" s="9" t="str">
        <x:v>Conservador</x:v>
      </x:c>
      <x:c r="D267" s="9" t="n">
        <x:v>11</x:v>
      </x:c>
      <x:c r="E267" s="11" t="n">
        <x:f>Premissas!$B$6</x:f>
        <x:v>330</x:v>
      </x:c>
      <x:c r="F267" s="9" t="n">
        <x:f>XLOOKUP(A267,Lotes!$A$4:$A$8,Lotes!$B$4:$B$8,0)</x:f>
        <x:v>0</x:v>
      </x:c>
      <x:c r="G267" s="13" t="n">
        <x:f>XLOOKUP(A267,Lotes!$A$4:$A$8,Lotes!$C$4:$C$8,0)</x:f>
        <x:v>4</x:v>
      </x:c>
      <x:c r="H267" s="13" t="n">
        <x:f>G267*Premissas!$B$5/Premissas!$B$4</x:f>
        <x:v>109.09090909090908</x:v>
      </x:c>
      <x:c r="I267" s="13" t="n">
        <x:f>D267*Premissas!$B$5/Premissas!$B$4</x:f>
        <x:v>300</x:v>
      </x:c>
      <x:c r="J267" s="13" t="n">
        <x:f>MAX(0,I267-H267)</x:f>
        <x:v>190.90909090909093</x:v>
      </x:c>
      <x:c r="K267" s="13" t="n">
        <x:f>SUMIFS('Cenários de GMD'!$C$4:$C$19,'Cenários de GMD'!$A$4:$A$19,B267,'Cenários de GMD'!$B$4:$B$19,C267)</x:f>
        <x:v>0.55</x:v>
      </x:c>
      <x:c r="L267" s="13" t="n">
        <x:f>IF(J267=0,0,J267/K267)</x:f>
        <x:v>347.10743801652893</x:v>
      </x:c>
      <x:c r="M267" s="13" t="n">
        <x:f>((H267+I267)/2)*SUMIFS('Cenários de GMD'!$D$4:$D$19,'Cenários de GMD'!$A$4:$A$19,B267,'Cenários de GMD'!$B$4:$B$19,C267)</x:f>
        <x:v>0.20454545454545453</x:v>
      </x:c>
      <x:c r="N267" s="13" t="n">
        <x:f>((H267+I267)/2)*SUMIFS('Cenários de GMD'!$E$4:$E$19,'Cenários de GMD'!$A$4:$A$19,B267,'Cenários de GMD'!$B$4:$B$19,C267)</x:f>
        <x:v>1.0227272727272727</x:v>
      </x:c>
      <x:c r="O267" s="11" t="n">
        <x:f>M267*Insumos!$E$4+N267*Insumos!$E$5</x:f>
        <x:v>2.649409090909091</x:v>
      </x:c>
      <x:c r="P267" s="11" t="n">
        <x:f>O267*Premissas!$B$7</x:f>
        <x:v>79.48227272727273</x:v>
      </x:c>
      <x:c r="Q267" s="11" t="n">
        <x:f>O267*L267</x:f>
        <x:v>919.6296018031555</x:v>
      </x:c>
      <x:c r="R267" s="11" t="n">
        <x:f>Premissas!$B$7*Premissas!$B$8*L267</x:f>
        <x:v>0</x:v>
      </x:c>
      <x:c r="S267" s="11" t="n">
        <x:f>D267*E267</x:f>
        <x:v>3630</x:v>
      </x:c>
      <x:c r="T267" s="11" t="n">
        <x:f>S267*F267</x:f>
        <x:v>0</x:v>
      </x:c>
      <x:c r="U267" s="11" t="n">
        <x:f>S267-XLOOKUP(A267,Lotes!$A$4:$A$8,Lotes!$D$4:$D$8,Premissas!$B$9)-Q267-R267</x:f>
        <x:v>2710.3703981968447</x:v>
      </x:c>
      <x:c r="V267" s="11" t="n">
        <x:f>U267*F267</x:f>
        <x:v>0</x:v>
      </x:c>
      <x:c r="W267" s="10" t="n">
        <x:f>IF(S267=0,0,U267/S267)</x:f>
        <x:v>0.7466585118999572</x:v>
      </x:c>
      <x:c r="X267" s="11" t="n">
        <x:f>IF(D267-G267&lt;=0,0,Q267/(D267-G267))</x:f>
        <x:v>131.3756574004508</x:v>
      </x:c>
      <x:c r="Y267" s="10" t="n">
        <x:f>IFERROR(U267/(XLOOKUP(A267,Lotes!$A$4:$A$8,Lotes!$D$4:$D$8,Premissas!$B$9)+Q267+R267),0)</x:f>
        <x:v>2.947241359871964</x:v>
      </x:c>
      <x:c r="Z267" s="10" t="n">
        <x:f>IF(L267=0,Y267,Y267/MAX(1,L267/Premissas!$B$7))</x:f>
        <x:v>0.254725860388934</x:v>
      </x:c>
      <x:c r="AA267" s="9" t="str">
        <x:f>IF(L267=0,"Venda imediata",IF(L267&lt;=60,"Baixo",IF(L267&lt;=120,"Médio","Alto")))</x:f>
        <x:v>Alto</x:v>
      </x:c>
      <x:c r="AB267" s="9" t="str">
        <x:f>IF(U267&lt;0,"Não fazer",IF(AA267="Alto","Risco seca",IF(Z267&gt;=0.03,"Bom giro","Margem ok")))</x:f>
        <x:v>Risco seca</x:v>
      </x:c>
    </x:row>
    <x:row r="268">
      <x:c r="A268" s="9" t="str">
        <x:v>Bezerras pequenas 4@</x:v>
      </x:c>
      <x:c r="B268" s="9" t="str">
        <x:v>Intermediária</x:v>
      </x:c>
      <x:c r="C268" s="9" t="str">
        <x:v>Conservador</x:v>
      </x:c>
      <x:c r="D268" s="9" t="n">
        <x:v>12</x:v>
      </x:c>
      <x:c r="E268" s="11" t="n">
        <x:f>Premissas!$B$6</x:f>
        <x:v>330</x:v>
      </x:c>
      <x:c r="F268" s="9" t="n">
        <x:f>XLOOKUP(A268,Lotes!$A$4:$A$8,Lotes!$B$4:$B$8,0)</x:f>
        <x:v>0</x:v>
      </x:c>
      <x:c r="G268" s="13" t="n">
        <x:f>XLOOKUP(A268,Lotes!$A$4:$A$8,Lotes!$C$4:$C$8,0)</x:f>
        <x:v>4</x:v>
      </x:c>
      <x:c r="H268" s="13" t="n">
        <x:f>G268*Premissas!$B$5/Premissas!$B$4</x:f>
        <x:v>109.09090909090908</x:v>
      </x:c>
      <x:c r="I268" s="13" t="n">
        <x:f>D268*Premissas!$B$5/Premissas!$B$4</x:f>
        <x:v>327.27272727272725</x:v>
      </x:c>
      <x:c r="J268" s="13" t="n">
        <x:f>MAX(0,I268-H268)</x:f>
        <x:v>218.1818181818182</x:v>
      </x:c>
      <x:c r="K268" s="13" t="n">
        <x:f>SUMIFS('Cenários de GMD'!$C$4:$C$19,'Cenários de GMD'!$A$4:$A$19,B268,'Cenários de GMD'!$B$4:$B$19,C268)</x:f>
        <x:v>0.55</x:v>
      </x:c>
      <x:c r="L268" s="13" t="n">
        <x:f>IF(J268=0,0,J268/K268)</x:f>
        <x:v>396.694214876033</x:v>
      </x:c>
      <x:c r="M268" s="13" t="n">
        <x:f>((H268+I268)/2)*SUMIFS('Cenários de GMD'!$D$4:$D$19,'Cenários de GMD'!$A$4:$A$19,B268,'Cenários de GMD'!$B$4:$B$19,C268)</x:f>
        <x:v>0.21818181818181817</x:v>
      </x:c>
      <x:c r="N268" s="13" t="n">
        <x:f>((H268+I268)/2)*SUMIFS('Cenários de GMD'!$E$4:$E$19,'Cenários de GMD'!$A$4:$A$19,B268,'Cenários de GMD'!$B$4:$B$19,C268)</x:f>
        <x:v>1.0909090909090908</x:v>
      </x:c>
      <x:c r="O268" s="11" t="n">
        <x:f>M268*Insumos!$E$4+N268*Insumos!$E$5</x:f>
        <x:v>2.8260363636363635</x:v>
      </x:c>
      <x:c r="P268" s="11" t="n">
        <x:f>O268*Premissas!$B$7</x:f>
        <x:v>84.7810909090909</x:v>
      </x:c>
      <x:c r="Q268" s="11" t="n">
        <x:f>O268*L268</x:f>
        <x:v>1121.0722764838465</x:v>
      </x:c>
      <x:c r="R268" s="11" t="n">
        <x:f>Premissas!$B$7*Premissas!$B$8*L268</x:f>
        <x:v>0</x:v>
      </x:c>
      <x:c r="S268" s="11" t="n">
        <x:f>D268*E268</x:f>
        <x:v>3960</x:v>
      </x:c>
      <x:c r="T268" s="11" t="n">
        <x:f>S268*F268</x:f>
        <x:v>0</x:v>
      </x:c>
      <x:c r="U268" s="11" t="n">
        <x:f>S268-XLOOKUP(A268,Lotes!$A$4:$A$8,Lotes!$D$4:$D$8,Premissas!$B$9)-Q268-R268</x:f>
        <x:v>2838.9277235161535</x:v>
      </x:c>
      <x:c r="V268" s="11" t="n">
        <x:f>U268*F268</x:f>
        <x:v>0</x:v>
      </x:c>
      <x:c r="W268" s="10" t="n">
        <x:f>IF(S268=0,0,U268/S268)</x:f>
        <x:v>0.7169009402818569</x:v>
      </x:c>
      <x:c r="X268" s="11" t="n">
        <x:f>IF(D268-G268&lt;=0,0,Q268/(D268-G268))</x:f>
        <x:v>140.1340345604808</x:v>
      </x:c>
      <x:c r="Y268" s="10" t="n">
        <x:f>IFERROR(U268/(XLOOKUP(A268,Lotes!$A$4:$A$8,Lotes!$D$4:$D$8,Premissas!$B$9)+Q268+R268),0)</x:f>
        <x:v>2.5323324669308773</x:v>
      </x:c>
      <x:c r="Z268" s="10" t="n">
        <x:f>IF(L268=0,Y268,Y268/MAX(1,L268/Premissas!$B$7))</x:f>
        <x:v>0.19150764281164762</x:v>
      </x:c>
      <x:c r="AA268" s="9" t="str">
        <x:f>IF(L268=0,"Venda imediata",IF(L268&lt;=60,"Baixo",IF(L268&lt;=120,"Médio","Alto")))</x:f>
        <x:v>Alto</x:v>
      </x:c>
      <x:c r="AB268" s="9" t="str">
        <x:f>IF(U268&lt;0,"Não fazer",IF(AA268="Alto","Risco seca",IF(Z268&gt;=0.03,"Bom giro","Margem ok")))</x:f>
        <x:v>Risco seca</x:v>
      </x:c>
    </x:row>
    <x:row r="269">
      <x:c r="A269" s="9" t="str">
        <x:v>Bezerras pequenas 4@</x:v>
      </x:c>
      <x:c r="B269" s="9" t="str">
        <x:v>Intermediária</x:v>
      </x:c>
      <x:c r="C269" s="9" t="str">
        <x:v>Base</x:v>
      </x:c>
      <x:c r="D269" s="9" t="n">
        <x:v>8.5</x:v>
      </x:c>
      <x:c r="E269" s="11" t="n">
        <x:f>Premissas!$B$6</x:f>
        <x:v>330</x:v>
      </x:c>
      <x:c r="F269" s="9" t="n">
        <x:f>XLOOKUP(A269,Lotes!$A$4:$A$8,Lotes!$B$4:$B$8,0)</x:f>
        <x:v>0</x:v>
      </x:c>
      <x:c r="G269" s="13" t="n">
        <x:f>XLOOKUP(A269,Lotes!$A$4:$A$8,Lotes!$C$4:$C$8,0)</x:f>
        <x:v>4</x:v>
      </x:c>
      <x:c r="H269" s="13" t="n">
        <x:f>G269*Premissas!$B$5/Premissas!$B$4</x:f>
        <x:v>109.09090909090908</x:v>
      </x:c>
      <x:c r="I269" s="13" t="n">
        <x:f>D269*Premissas!$B$5/Premissas!$B$4</x:f>
        <x:v>231.8181818181818</x:v>
      </x:c>
      <x:c r="J269" s="13" t="n">
        <x:f>MAX(0,I269-H269)</x:f>
        <x:v>122.72727272727273</x:v>
      </x:c>
      <x:c r="K269" s="13" t="n">
        <x:f>SUMIFS('Cenários de GMD'!$C$4:$C$19,'Cenários de GMD'!$A$4:$A$19,B269,'Cenários de GMD'!$B$4:$B$19,C269)</x:f>
        <x:v>0.7</x:v>
      </x:c>
      <x:c r="L269" s="13" t="n">
        <x:f>IF(J269=0,0,J269/K269)</x:f>
        <x:v>175.32467532467535</x:v>
      </x:c>
      <x:c r="M269" s="13" t="n">
        <x:f>((H269+I269)/2)*SUMIFS('Cenários de GMD'!$D$4:$D$19,'Cenários de GMD'!$A$4:$A$19,B269,'Cenários de GMD'!$B$4:$B$19,C269)</x:f>
        <x:v>0.17045454545454544</x:v>
      </x:c>
      <x:c r="N269" s="13" t="n">
        <x:f>((H269+I269)/2)*SUMIFS('Cenários de GMD'!$E$4:$E$19,'Cenários de GMD'!$A$4:$A$19,B269,'Cenários de GMD'!$B$4:$B$19,C269)</x:f>
        <x:v>0.8522727272727272</x:v>
      </x:c>
      <x:c r="O269" s="11" t="n">
        <x:f>M269*Insumos!$E$4+N269*Insumos!$E$5</x:f>
        <x:v>2.207840909090909</x:v>
      </x:c>
      <x:c r="P269" s="11" t="n">
        <x:f>O269*Premissas!$B$7</x:f>
        <x:v>66.23522727272726</x:v>
      </x:c>
      <x:c r="Q269" s="11" t="n">
        <x:f>O269*L269</x:f>
        <x:v>387.0889905548997</x:v>
      </x:c>
      <x:c r="R269" s="11" t="n">
        <x:f>Premissas!$B$7*Premissas!$B$8*L269</x:f>
        <x:v>0</x:v>
      </x:c>
      <x:c r="S269" s="11" t="n">
        <x:f>D269*E269</x:f>
        <x:v>2805</x:v>
      </x:c>
      <x:c r="T269" s="11" t="n">
        <x:f>S269*F269</x:f>
        <x:v>0</x:v>
      </x:c>
      <x:c r="U269" s="11" t="n">
        <x:f>S269-XLOOKUP(A269,Lotes!$A$4:$A$8,Lotes!$D$4:$D$8,Premissas!$B$9)-Q269-R269</x:f>
        <x:v>2417.9110094451003</x:v>
      </x:c>
      <x:c r="V269" s="11" t="n">
        <x:f>U269*F269</x:f>
        <x:v>0</x:v>
      </x:c>
      <x:c r="W269" s="10" t="n">
        <x:f>IF(S269=0,0,U269/S269)</x:f>
        <x:v>0.862000359873476</x:v>
      </x:c>
      <x:c r="X269" s="11" t="n">
        <x:f>IF(D269-G269&lt;=0,0,Q269/(D269-G269))</x:f>
        <x:v>86.0197756788666</x:v>
      </x:c>
      <x:c r="Y269" s="10" t="n">
        <x:f>IFERROR(U269/(XLOOKUP(A269,Lotes!$A$4:$A$8,Lotes!$D$4:$D$8,Premissas!$B$9)+Q269+R269),0)</x:f>
        <x:v>6.246395708591395</x:v>
      </x:c>
      <x:c r="Z269" s="10" t="n">
        <x:f>IF(L269=0,Y269,Y269/MAX(1,L269/Premissas!$B$7))</x:f>
        <x:v>1.0688277101367496</x:v>
      </x:c>
      <x:c r="AA269" s="9" t="str">
        <x:f>IF(L269=0,"Venda imediata",IF(L269&lt;=60,"Baixo",IF(L269&lt;=120,"Médio","Alto")))</x:f>
        <x:v>Alto</x:v>
      </x:c>
      <x:c r="AB269" s="9" t="str">
        <x:f>IF(U269&lt;0,"Não fazer",IF(AA269="Alto","Risco seca",IF(Z269&gt;=0.03,"Bom giro","Margem ok")))</x:f>
        <x:v>Risco seca</x:v>
      </x:c>
    </x:row>
    <x:row r="270">
      <x:c r="A270" s="9" t="str">
        <x:v>Bezerras pequenas 4@</x:v>
      </x:c>
      <x:c r="B270" s="9" t="str">
        <x:v>Intermediária</x:v>
      </x:c>
      <x:c r="C270" s="9" t="str">
        <x:v>Base</x:v>
      </x:c>
      <x:c r="D270" s="9" t="n">
        <x:v>9</x:v>
      </x:c>
      <x:c r="E270" s="11" t="n">
        <x:f>Premissas!$B$6</x:f>
        <x:v>330</x:v>
      </x:c>
      <x:c r="F270" s="9" t="n">
        <x:f>XLOOKUP(A270,Lotes!$A$4:$A$8,Lotes!$B$4:$B$8,0)</x:f>
        <x:v>0</x:v>
      </x:c>
      <x:c r="G270" s="13" t="n">
        <x:f>XLOOKUP(A270,Lotes!$A$4:$A$8,Lotes!$C$4:$C$8,0)</x:f>
        <x:v>4</x:v>
      </x:c>
      <x:c r="H270" s="13" t="n">
        <x:f>G270*Premissas!$B$5/Premissas!$B$4</x:f>
        <x:v>109.09090909090908</x:v>
      </x:c>
      <x:c r="I270" s="13" t="n">
        <x:f>D270*Premissas!$B$5/Premissas!$B$4</x:f>
        <x:v>245.45454545454544</x:v>
      </x:c>
      <x:c r="J270" s="13" t="n">
        <x:f>MAX(0,I270-H270)</x:f>
        <x:v>136.36363636363637</x:v>
      </x:c>
      <x:c r="K270" s="13" t="n">
        <x:f>SUMIFS('Cenários de GMD'!$C$4:$C$19,'Cenários de GMD'!$A$4:$A$19,B270,'Cenários de GMD'!$B$4:$B$19,C270)</x:f>
        <x:v>0.7</x:v>
      </x:c>
      <x:c r="L270" s="13" t="n">
        <x:f>IF(J270=0,0,J270/K270)</x:f>
        <x:v>194.80519480519484</x:v>
      </x:c>
      <x:c r="M270" s="13" t="n">
        <x:f>((H270+I270)/2)*SUMIFS('Cenários de GMD'!$D$4:$D$19,'Cenários de GMD'!$A$4:$A$19,B270,'Cenários de GMD'!$B$4:$B$19,C270)</x:f>
        <x:v>0.17727272727272725</x:v>
      </x:c>
      <x:c r="N270" s="13" t="n">
        <x:f>((H270+I270)/2)*SUMIFS('Cenários de GMD'!$E$4:$E$19,'Cenários de GMD'!$A$4:$A$19,B270,'Cenários de GMD'!$B$4:$B$19,C270)</x:f>
        <x:v>0.8863636363636362</x:v>
      </x:c>
      <x:c r="O270" s="11" t="n">
        <x:f>M270*Insumos!$E$4+N270*Insumos!$E$5</x:f>
        <x:v>2.296154545454545</x:v>
      </x:c>
      <x:c r="P270" s="11" t="n">
        <x:f>O270*Premissas!$B$7</x:f>
        <x:v>68.88463636363636</x:v>
      </x:c>
      <x:c r="Q270" s="11" t="n">
        <x:f>O270*L270</x:f>
        <x:v>447.3028335301063</x:v>
      </x:c>
      <x:c r="R270" s="11" t="n">
        <x:f>Premissas!$B$7*Premissas!$B$8*L270</x:f>
        <x:v>0</x:v>
      </x:c>
      <x:c r="S270" s="11" t="n">
        <x:f>D270*E270</x:f>
        <x:v>2970</x:v>
      </x:c>
      <x:c r="T270" s="11" t="n">
        <x:f>S270*F270</x:f>
        <x:v>0</x:v>
      </x:c>
      <x:c r="U270" s="11" t="n">
        <x:f>S270-XLOOKUP(A270,Lotes!$A$4:$A$8,Lotes!$D$4:$D$8,Premissas!$B$9)-Q270-R270</x:f>
        <x:v>2522.6971664698935</x:v>
      </x:c>
      <x:c r="V270" s="11" t="n">
        <x:f>U270*F270</x:f>
        <x:v>0</x:v>
      </x:c>
      <x:c r="W270" s="10" t="n">
        <x:f>IF(S270=0,0,U270/S270)</x:f>
        <x:v>0.8493929853433985</x:v>
      </x:c>
      <x:c r="X270" s="11" t="n">
        <x:f>IF(D270-G270&lt;=0,0,Q270/(D270-G270))</x:f>
        <x:v>89.46056670602125</x:v>
      </x:c>
      <x:c r="Y270" s="10" t="n">
        <x:f>IFERROR(U270/(XLOOKUP(A270,Lotes!$A$4:$A$8,Lotes!$D$4:$D$8,Premissas!$B$9)+Q270+R270),0)</x:f>
        <x:v>5.639796972804332</x:v>
      </x:c>
      <x:c r="Z270" s="10" t="n">
        <x:f>IF(L270=0,Y270,Y270/MAX(1,L270/Premissas!$B$7))</x:f>
        <x:v>0.8685287338118669</x:v>
      </x:c>
      <x:c r="AA270" s="9" t="str">
        <x:f>IF(L270=0,"Venda imediata",IF(L270&lt;=60,"Baixo",IF(L270&lt;=120,"Médio","Alto")))</x:f>
        <x:v>Alto</x:v>
      </x:c>
      <x:c r="AB270" s="9" t="str">
        <x:f>IF(U270&lt;0,"Não fazer",IF(AA270="Alto","Risco seca",IF(Z270&gt;=0.03,"Bom giro","Margem ok")))</x:f>
        <x:v>Risco seca</x:v>
      </x:c>
    </x:row>
    <x:row r="271">
      <x:c r="A271" s="9" t="str">
        <x:v>Bezerras pequenas 4@</x:v>
      </x:c>
      <x:c r="B271" s="9" t="str">
        <x:v>Intermediária</x:v>
      </x:c>
      <x:c r="C271" s="9" t="str">
        <x:v>Base</x:v>
      </x:c>
      <x:c r="D271" s="9" t="n">
        <x:v>10.5</x:v>
      </x:c>
      <x:c r="E271" s="11" t="n">
        <x:f>Premissas!$B$6</x:f>
        <x:v>330</x:v>
      </x:c>
      <x:c r="F271" s="9" t="n">
        <x:f>XLOOKUP(A271,Lotes!$A$4:$A$8,Lotes!$B$4:$B$8,0)</x:f>
        <x:v>0</x:v>
      </x:c>
      <x:c r="G271" s="13" t="n">
        <x:f>XLOOKUP(A271,Lotes!$A$4:$A$8,Lotes!$C$4:$C$8,0)</x:f>
        <x:v>4</x:v>
      </x:c>
      <x:c r="H271" s="13" t="n">
        <x:f>G271*Premissas!$B$5/Premissas!$B$4</x:f>
        <x:v>109.09090909090908</x:v>
      </x:c>
      <x:c r="I271" s="13" t="n">
        <x:f>D271*Premissas!$B$5/Premissas!$B$4</x:f>
        <x:v>286.3636363636363</x:v>
      </x:c>
      <x:c r="J271" s="13" t="n">
        <x:f>MAX(0,I271-H271)</x:f>
        <x:v>177.27272727272725</x:v>
      </x:c>
      <x:c r="K271" s="13" t="n">
        <x:f>SUMIFS('Cenários de GMD'!$C$4:$C$19,'Cenários de GMD'!$A$4:$A$19,B271,'Cenários de GMD'!$B$4:$B$19,C271)</x:f>
        <x:v>0.7</x:v>
      </x:c>
      <x:c r="L271" s="13" t="n">
        <x:f>IF(J271=0,0,J271/K271)</x:f>
        <x:v>253.24675324675323</x:v>
      </x:c>
      <x:c r="M271" s="13" t="n">
        <x:f>((H271+I271)/2)*SUMIFS('Cenários de GMD'!$D$4:$D$19,'Cenários de GMD'!$A$4:$A$19,B271,'Cenários de GMD'!$B$4:$B$19,C271)</x:f>
        <x:v>0.1977272727272727</x:v>
      </x:c>
      <x:c r="N271" s="13" t="n">
        <x:f>((H271+I271)/2)*SUMIFS('Cenários de GMD'!$E$4:$E$19,'Cenários de GMD'!$A$4:$A$19,B271,'Cenários de GMD'!$B$4:$B$19,C271)</x:f>
        <x:v>0.9886363636363634</x:v>
      </x:c>
      <x:c r="O271" s="11" t="n">
        <x:f>M271*Insumos!$E$4+N271*Insumos!$E$5</x:f>
        <x:v>2.561095454545454</x:v>
      </x:c>
      <x:c r="P271" s="11" t="n">
        <x:f>O271*Premissas!$B$7</x:f>
        <x:v>76.83286363636363</x:v>
      </x:c>
      <x:c r="Q271" s="11" t="n">
        <x:f>O271*L271</x:f>
        <x:v>648.5891086186539</x:v>
      </x:c>
      <x:c r="R271" s="11" t="n">
        <x:f>Premissas!$B$7*Premissas!$B$8*L271</x:f>
        <x:v>0</x:v>
      </x:c>
      <x:c r="S271" s="11" t="n">
        <x:f>D271*E271</x:f>
        <x:v>3465</x:v>
      </x:c>
      <x:c r="T271" s="11" t="n">
        <x:f>S271*F271</x:f>
        <x:v>0</x:v>
      </x:c>
      <x:c r="U271" s="11" t="n">
        <x:f>S271-XLOOKUP(A271,Lotes!$A$4:$A$8,Lotes!$D$4:$D$8,Premissas!$B$9)-Q271-R271</x:f>
        <x:v>2816.410891381346</x:v>
      </x:c>
      <x:c r="V271" s="11" t="n">
        <x:f>U271*F271</x:f>
        <x:v>0</x:v>
      </x:c>
      <x:c r="W271" s="10" t="n">
        <x:f>IF(S271=0,0,U271/S271)</x:f>
        <x:v>0.8128169960696525</x:v>
      </x:c>
      <x:c r="X271" s="11" t="n">
        <x:f>IF(D271-G271&lt;=0,0,Q271/(D271-G271))</x:f>
        <x:v>99.78293978748522</x:v>
      </x:c>
      <x:c r="Y271" s="10" t="n">
        <x:f>IFERROR(U271/(XLOOKUP(A271,Lotes!$A$4:$A$8,Lotes!$D$4:$D$8,Premissas!$B$9)+Q271+R271),0)</x:f>
        <x:v>4.342365380417281</x:v>
      </x:c>
      <x:c r="Z271" s="10" t="n">
        <x:f>IF(L271=0,Y271,Y271/MAX(1,L271/Premissas!$B$7))</x:f>
        <x:v>0.5144032835263549</x:v>
      </x:c>
      <x:c r="AA271" s="9" t="str">
        <x:f>IF(L271=0,"Venda imediata",IF(L271&lt;=60,"Baixo",IF(L271&lt;=120,"Médio","Alto")))</x:f>
        <x:v>Alto</x:v>
      </x:c>
      <x:c r="AB271" s="9" t="str">
        <x:f>IF(U271&lt;0,"Não fazer",IF(AA271="Alto","Risco seca",IF(Z271&gt;=0.03,"Bom giro","Margem ok")))</x:f>
        <x:v>Risco seca</x:v>
      </x:c>
    </x:row>
    <x:row r="272">
      <x:c r="A272" s="9" t="str">
        <x:v>Bezerras pequenas 4@</x:v>
      </x:c>
      <x:c r="B272" s="9" t="str">
        <x:v>Intermediária</x:v>
      </x:c>
      <x:c r="C272" s="9" t="str">
        <x:v>Base</x:v>
      </x:c>
      <x:c r="D272" s="9" t="n">
        <x:v>11</x:v>
      </x:c>
      <x:c r="E272" s="11" t="n">
        <x:f>Premissas!$B$6</x:f>
        <x:v>330</x:v>
      </x:c>
      <x:c r="F272" s="9" t="n">
        <x:f>XLOOKUP(A272,Lotes!$A$4:$A$8,Lotes!$B$4:$B$8,0)</x:f>
        <x:v>0</x:v>
      </x:c>
      <x:c r="G272" s="13" t="n">
        <x:f>XLOOKUP(A272,Lotes!$A$4:$A$8,Lotes!$C$4:$C$8,0)</x:f>
        <x:v>4</x:v>
      </x:c>
      <x:c r="H272" s="13" t="n">
        <x:f>G272*Premissas!$B$5/Premissas!$B$4</x:f>
        <x:v>109.09090909090908</x:v>
      </x:c>
      <x:c r="I272" s="13" t="n">
        <x:f>D272*Premissas!$B$5/Premissas!$B$4</x:f>
        <x:v>300</x:v>
      </x:c>
      <x:c r="J272" s="13" t="n">
        <x:f>MAX(0,I272-H272)</x:f>
        <x:v>190.90909090909093</x:v>
      </x:c>
      <x:c r="K272" s="13" t="n">
        <x:f>SUMIFS('Cenários de GMD'!$C$4:$C$19,'Cenários de GMD'!$A$4:$A$19,B272,'Cenários de GMD'!$B$4:$B$19,C272)</x:f>
        <x:v>0.7</x:v>
      </x:c>
      <x:c r="L272" s="13" t="n">
        <x:f>IF(J272=0,0,J272/K272)</x:f>
        <x:v>272.7272727272728</x:v>
      </x:c>
      <x:c r="M272" s="13" t="n">
        <x:f>((H272+I272)/2)*SUMIFS('Cenários de GMD'!$D$4:$D$19,'Cenários de GMD'!$A$4:$A$19,B272,'Cenários de GMD'!$B$4:$B$19,C272)</x:f>
        <x:v>0.20454545454545453</x:v>
      </x:c>
      <x:c r="N272" s="13" t="n">
        <x:f>((H272+I272)/2)*SUMIFS('Cenários de GMD'!$E$4:$E$19,'Cenários de GMD'!$A$4:$A$19,B272,'Cenários de GMD'!$B$4:$B$19,C272)</x:f>
        <x:v>1.0227272727272727</x:v>
      </x:c>
      <x:c r="O272" s="11" t="n">
        <x:f>M272*Insumos!$E$4+N272*Insumos!$E$5</x:f>
        <x:v>2.649409090909091</x:v>
      </x:c>
      <x:c r="P272" s="11" t="n">
        <x:f>O272*Premissas!$B$7</x:f>
        <x:v>79.48227272727273</x:v>
      </x:c>
      <x:c r="Q272" s="11" t="n">
        <x:f>O272*L272</x:f>
        <x:v>722.5661157024795</x:v>
      </x:c>
      <x:c r="R272" s="11" t="n">
        <x:f>Premissas!$B$7*Premissas!$B$8*L272</x:f>
        <x:v>0</x:v>
      </x:c>
      <x:c r="S272" s="11" t="n">
        <x:f>D272*E272</x:f>
        <x:v>3630</x:v>
      </x:c>
      <x:c r="T272" s="11" t="n">
        <x:f>S272*F272</x:f>
        <x:v>0</x:v>
      </x:c>
      <x:c r="U272" s="11" t="n">
        <x:f>S272-XLOOKUP(A272,Lotes!$A$4:$A$8,Lotes!$D$4:$D$8,Premissas!$B$9)-Q272-R272</x:f>
        <x:v>2907.4338842975203</x:v>
      </x:c>
      <x:c r="V272" s="11" t="n">
        <x:f>U272*F272</x:f>
        <x:v>0</x:v>
      </x:c>
      <x:c r="W272" s="10" t="n">
        <x:f>IF(S272=0,0,U272/S272)</x:f>
        <x:v>0.8009459736356805</x:v>
      </x:c>
      <x:c r="X272" s="11" t="n">
        <x:f>IF(D272-G272&lt;=0,0,Q272/(D272-G272))</x:f>
        <x:v>103.22373081463992</x:v>
      </x:c>
      <x:c r="Y272" s="10" t="n">
        <x:f>IFERROR(U272/(XLOOKUP(A272,Lotes!$A$4:$A$8,Lotes!$D$4:$D$8,Premissas!$B$9)+Q272+R272),0)</x:f>
        <x:v>4.023761730746134</x:v>
      </x:c>
      <x:c r="Z272" s="10" t="n">
        <x:f>IF(L272=0,Y272,Y272/MAX(1,L272/Premissas!$B$7))</x:f>
        <x:v>0.44261379038207466</x:v>
      </x:c>
      <x:c r="AA272" s="9" t="str">
        <x:f>IF(L272=0,"Venda imediata",IF(L272&lt;=60,"Baixo",IF(L272&lt;=120,"Médio","Alto")))</x:f>
        <x:v>Alto</x:v>
      </x:c>
      <x:c r="AB272" s="9" t="str">
        <x:f>IF(U272&lt;0,"Não fazer",IF(AA272="Alto","Risco seca",IF(Z272&gt;=0.03,"Bom giro","Margem ok")))</x:f>
        <x:v>Risco seca</x:v>
      </x:c>
    </x:row>
    <x:row r="273">
      <x:c r="A273" s="9" t="str">
        <x:v>Bezerras pequenas 4@</x:v>
      </x:c>
      <x:c r="B273" s="9" t="str">
        <x:v>Intermediária</x:v>
      </x:c>
      <x:c r="C273" s="9" t="str">
        <x:v>Base</x:v>
      </x:c>
      <x:c r="D273" s="9" t="n">
        <x:v>12</x:v>
      </x:c>
      <x:c r="E273" s="11" t="n">
        <x:f>Premissas!$B$6</x:f>
        <x:v>330</x:v>
      </x:c>
      <x:c r="F273" s="9" t="n">
        <x:f>XLOOKUP(A273,Lotes!$A$4:$A$8,Lotes!$B$4:$B$8,0)</x:f>
        <x:v>0</x:v>
      </x:c>
      <x:c r="G273" s="13" t="n">
        <x:f>XLOOKUP(A273,Lotes!$A$4:$A$8,Lotes!$C$4:$C$8,0)</x:f>
        <x:v>4</x:v>
      </x:c>
      <x:c r="H273" s="13" t="n">
        <x:f>G273*Premissas!$B$5/Premissas!$B$4</x:f>
        <x:v>109.09090909090908</x:v>
      </x:c>
      <x:c r="I273" s="13" t="n">
        <x:f>D273*Premissas!$B$5/Premissas!$B$4</x:f>
        <x:v>327.27272727272725</x:v>
      </x:c>
      <x:c r="J273" s="13" t="n">
        <x:f>MAX(0,I273-H273)</x:f>
        <x:v>218.1818181818182</x:v>
      </x:c>
      <x:c r="K273" s="13" t="n">
        <x:f>SUMIFS('Cenários de GMD'!$C$4:$C$19,'Cenários de GMD'!$A$4:$A$19,B273,'Cenários de GMD'!$B$4:$B$19,C273)</x:f>
        <x:v>0.7</x:v>
      </x:c>
      <x:c r="L273" s="13" t="n">
        <x:f>IF(J273=0,0,J273/K273)</x:f>
        <x:v>311.6883116883117</x:v>
      </x:c>
      <x:c r="M273" s="13" t="n">
        <x:f>((H273+I273)/2)*SUMIFS('Cenários de GMD'!$D$4:$D$19,'Cenários de GMD'!$A$4:$A$19,B273,'Cenários de GMD'!$B$4:$B$19,C273)</x:f>
        <x:v>0.21818181818181817</x:v>
      </x:c>
      <x:c r="N273" s="13" t="n">
        <x:f>((H273+I273)/2)*SUMIFS('Cenários de GMD'!$E$4:$E$19,'Cenários de GMD'!$A$4:$A$19,B273,'Cenários de GMD'!$B$4:$B$19,C273)</x:f>
        <x:v>1.0909090909090908</x:v>
      </x:c>
      <x:c r="O273" s="11" t="n">
        <x:f>M273*Insumos!$E$4+N273*Insumos!$E$5</x:f>
        <x:v>2.8260363636363635</x:v>
      </x:c>
      <x:c r="P273" s="11" t="n">
        <x:f>O273*Premissas!$B$7</x:f>
        <x:v>84.7810909090909</x:v>
      </x:c>
      <x:c r="Q273" s="11" t="n">
        <x:f>O273*L273</x:f>
        <x:v>880.8425029515939</x:v>
      </x:c>
      <x:c r="R273" s="11" t="n">
        <x:f>Premissas!$B$7*Premissas!$B$8*L273</x:f>
        <x:v>0</x:v>
      </x:c>
      <x:c r="S273" s="11" t="n">
        <x:f>D273*E273</x:f>
        <x:v>3960</x:v>
      </x:c>
      <x:c r="T273" s="11" t="n">
        <x:f>S273*F273</x:f>
        <x:v>0</x:v>
      </x:c>
      <x:c r="U273" s="11" t="n">
        <x:f>S273-XLOOKUP(A273,Lotes!$A$4:$A$8,Lotes!$D$4:$D$8,Premissas!$B$9)-Q273-R273</x:f>
        <x:v>3079.157497048406</x:v>
      </x:c>
      <x:c r="V273" s="11" t="n">
        <x:f>U273*F273</x:f>
        <x:v>0</x:v>
      </x:c>
      <x:c r="W273" s="10" t="n">
        <x:f>IF(S273=0,0,U273/S273)</x:f>
        <x:v>0.7775650245071732</x:v>
      </x:c>
      <x:c r="X273" s="11" t="n">
        <x:f>IF(D273-G273&lt;=0,0,Q273/(D273-G273))</x:f>
        <x:v>110.10531286894924</x:v>
      </x:c>
      <x:c r="Y273" s="10" t="n">
        <x:f>IFERROR(U273/(XLOOKUP(A273,Lotes!$A$4:$A$8,Lotes!$D$4:$D$8,Premissas!$B$9)+Q273+R273),0)</x:f>
        <x:v>3.4956958670029334</x:v>
      </x:c>
      <x:c r="Z273" s="10" t="n">
        <x:f>IF(L273=0,Y273,Y273/MAX(1,L273/Premissas!$B$7))</x:f>
        <x:v>0.3364607271990323</x:v>
      </x:c>
      <x:c r="AA273" s="9" t="str">
        <x:f>IF(L273=0,"Venda imediata",IF(L273&lt;=60,"Baixo",IF(L273&lt;=120,"Médio","Alto")))</x:f>
        <x:v>Alto</x:v>
      </x:c>
      <x:c r="AB273" s="9" t="str">
        <x:f>IF(U273&lt;0,"Não fazer",IF(AA273="Alto","Risco seca",IF(Z273&gt;=0.03,"Bom giro","Margem ok")))</x:f>
        <x:v>Risco seca</x:v>
      </x:c>
    </x:row>
    <x:row r="274">
      <x:c r="A274" s="9" t="str">
        <x:v>Bezerras pequenas 4@</x:v>
      </x:c>
      <x:c r="B274" s="9" t="str">
        <x:v>Intermediária</x:v>
      </x:c>
      <x:c r="C274" s="9" t="str">
        <x:v>Bom</x:v>
      </x:c>
      <x:c r="D274" s="9" t="n">
        <x:v>8.5</x:v>
      </x:c>
      <x:c r="E274" s="11" t="n">
        <x:f>Premissas!$B$6</x:f>
        <x:v>330</x:v>
      </x:c>
      <x:c r="F274" s="9" t="n">
        <x:f>XLOOKUP(A274,Lotes!$A$4:$A$8,Lotes!$B$4:$B$8,0)</x:f>
        <x:v>0</x:v>
      </x:c>
      <x:c r="G274" s="13" t="n">
        <x:f>XLOOKUP(A274,Lotes!$A$4:$A$8,Lotes!$C$4:$C$8,0)</x:f>
        <x:v>4</x:v>
      </x:c>
      <x:c r="H274" s="13" t="n">
        <x:f>G274*Premissas!$B$5/Premissas!$B$4</x:f>
        <x:v>109.09090909090908</x:v>
      </x:c>
      <x:c r="I274" s="13" t="n">
        <x:f>D274*Premissas!$B$5/Premissas!$B$4</x:f>
        <x:v>231.8181818181818</x:v>
      </x:c>
      <x:c r="J274" s="13" t="n">
        <x:f>MAX(0,I274-H274)</x:f>
        <x:v>122.72727272727273</x:v>
      </x:c>
      <x:c r="K274" s="13" t="n">
        <x:f>SUMIFS('Cenários de GMD'!$C$4:$C$19,'Cenários de GMD'!$A$4:$A$19,B274,'Cenários de GMD'!$B$4:$B$19,C274)</x:f>
        <x:v>0.85</x:v>
      </x:c>
      <x:c r="L274" s="13" t="n">
        <x:f>IF(J274=0,0,J274/K274)</x:f>
        <x:v>144.38502673796793</x:v>
      </x:c>
      <x:c r="M274" s="13" t="n">
        <x:f>((H274+I274)/2)*SUMIFS('Cenários de GMD'!$D$4:$D$19,'Cenários de GMD'!$A$4:$A$19,B274,'Cenários de GMD'!$B$4:$B$19,C274)</x:f>
        <x:v>0.17045454545454544</x:v>
      </x:c>
      <x:c r="N274" s="13" t="n">
        <x:f>((H274+I274)/2)*SUMIFS('Cenários de GMD'!$E$4:$E$19,'Cenários de GMD'!$A$4:$A$19,B274,'Cenários de GMD'!$B$4:$B$19,C274)</x:f>
        <x:v>0.8522727272727272</x:v>
      </x:c>
      <x:c r="O274" s="11" t="n">
        <x:f>M274*Insumos!$E$4+N274*Insumos!$E$5</x:f>
        <x:v>2.207840909090909</x:v>
      </x:c>
      <x:c r="P274" s="11" t="n">
        <x:f>O274*Premissas!$B$7</x:f>
        <x:v>66.23522727272726</x:v>
      </x:c>
      <x:c r="Q274" s="11" t="n">
        <x:f>O274*L274</x:f>
        <x:v>318.7791686922703</x:v>
      </x:c>
      <x:c r="R274" s="11" t="n">
        <x:f>Premissas!$B$7*Premissas!$B$8*L274</x:f>
        <x:v>0</x:v>
      </x:c>
      <x:c r="S274" s="11" t="n">
        <x:f>D274*E274</x:f>
        <x:v>2805</x:v>
      </x:c>
      <x:c r="T274" s="11" t="n">
        <x:f>S274*F274</x:f>
        <x:v>0</x:v>
      </x:c>
      <x:c r="U274" s="11" t="n">
        <x:f>S274-XLOOKUP(A274,Lotes!$A$4:$A$8,Lotes!$D$4:$D$8,Premissas!$B$9)-Q274-R274</x:f>
        <x:v>2486.22083130773</x:v>
      </x:c>
      <x:c r="V274" s="11" t="n">
        <x:f>U274*F274</x:f>
        <x:v>0</x:v>
      </x:c>
      <x:c r="W274" s="10" t="n">
        <x:f>IF(S274=0,0,U274/S274)</x:f>
        <x:v>0.8863532375428627</x:v>
      </x:c>
      <x:c r="X274" s="11" t="n">
        <x:f>IF(D274-G274&lt;=0,0,Q274/(D274-G274))</x:f>
        <x:v>70.83981526494895</x:v>
      </x:c>
      <x:c r="Y274" s="10" t="n">
        <x:f>IFERROR(U274/(XLOOKUP(A274,Lotes!$A$4:$A$8,Lotes!$D$4:$D$8,Premissas!$B$9)+Q274+R274),0)</x:f>
        <x:v>7.799194789003838</x:v>
      </x:c>
      <x:c r="Z274" s="10" t="n">
        <x:f>IF(L274=0,Y274,Y274/MAX(1,L274/Premissas!$B$7))</x:f>
        <x:v>1.6204993617152417</x:v>
      </x:c>
      <x:c r="AA274" s="9" t="str">
        <x:f>IF(L274=0,"Venda imediata",IF(L274&lt;=60,"Baixo",IF(L274&lt;=120,"Médio","Alto")))</x:f>
        <x:v>Alto</x:v>
      </x:c>
      <x:c r="AB274" s="9" t="str">
        <x:f>IF(U274&lt;0,"Não fazer",IF(AA274="Alto","Risco seca",IF(Z274&gt;=0.03,"Bom giro","Margem ok")))</x:f>
        <x:v>Risco seca</x:v>
      </x:c>
    </x:row>
    <x:row r="275">
      <x:c r="A275" s="9" t="str">
        <x:v>Bezerras pequenas 4@</x:v>
      </x:c>
      <x:c r="B275" s="9" t="str">
        <x:v>Intermediária</x:v>
      </x:c>
      <x:c r="C275" s="9" t="str">
        <x:v>Bom</x:v>
      </x:c>
      <x:c r="D275" s="9" t="n">
        <x:v>9</x:v>
      </x:c>
      <x:c r="E275" s="11" t="n">
        <x:f>Premissas!$B$6</x:f>
        <x:v>330</x:v>
      </x:c>
      <x:c r="F275" s="9" t="n">
        <x:f>XLOOKUP(A275,Lotes!$A$4:$A$8,Lotes!$B$4:$B$8,0)</x:f>
        <x:v>0</x:v>
      </x:c>
      <x:c r="G275" s="13" t="n">
        <x:f>XLOOKUP(A275,Lotes!$A$4:$A$8,Lotes!$C$4:$C$8,0)</x:f>
        <x:v>4</x:v>
      </x:c>
      <x:c r="H275" s="13" t="n">
        <x:f>G275*Premissas!$B$5/Premissas!$B$4</x:f>
        <x:v>109.09090909090908</x:v>
      </x:c>
      <x:c r="I275" s="13" t="n">
        <x:f>D275*Premissas!$B$5/Premissas!$B$4</x:f>
        <x:v>245.45454545454544</x:v>
      </x:c>
      <x:c r="J275" s="13" t="n">
        <x:f>MAX(0,I275-H275)</x:f>
        <x:v>136.36363636363637</x:v>
      </x:c>
      <x:c r="K275" s="13" t="n">
        <x:f>SUMIFS('Cenários de GMD'!$C$4:$C$19,'Cenários de GMD'!$A$4:$A$19,B275,'Cenários de GMD'!$B$4:$B$19,C275)</x:f>
        <x:v>0.85</x:v>
      </x:c>
      <x:c r="L275" s="13" t="n">
        <x:f>IF(J275=0,0,J275/K275)</x:f>
        <x:v>160.42780748663102</x:v>
      </x:c>
      <x:c r="M275" s="13" t="n">
        <x:f>((H275+I275)/2)*SUMIFS('Cenários de GMD'!$D$4:$D$19,'Cenários de GMD'!$A$4:$A$19,B275,'Cenários de GMD'!$B$4:$B$19,C275)</x:f>
        <x:v>0.17727272727272725</x:v>
      </x:c>
      <x:c r="N275" s="13" t="n">
        <x:f>((H275+I275)/2)*SUMIFS('Cenários de GMD'!$E$4:$E$19,'Cenários de GMD'!$A$4:$A$19,B275,'Cenários de GMD'!$B$4:$B$19,C275)</x:f>
        <x:v>0.8863636363636362</x:v>
      </x:c>
      <x:c r="O275" s="11" t="n">
        <x:f>M275*Insumos!$E$4+N275*Insumos!$E$5</x:f>
        <x:v>2.296154545454545</x:v>
      </x:c>
      <x:c r="P275" s="11" t="n">
        <x:f>O275*Premissas!$B$7</x:f>
        <x:v>68.88463636363636</x:v>
      </x:c>
      <x:c r="Q275" s="11" t="n">
        <x:f>O275*L275</x:f>
        <x:v>368.36703937773456</x:v>
      </x:c>
      <x:c r="R275" s="11" t="n">
        <x:f>Premissas!$B$7*Premissas!$B$8*L275</x:f>
        <x:v>0</x:v>
      </x:c>
      <x:c r="S275" s="11" t="n">
        <x:f>D275*E275</x:f>
        <x:v>2970</x:v>
      </x:c>
      <x:c r="T275" s="11" t="n">
        <x:f>S275*F275</x:f>
        <x:v>0</x:v>
      </x:c>
      <x:c r="U275" s="11" t="n">
        <x:f>S275-XLOOKUP(A275,Lotes!$A$4:$A$8,Lotes!$D$4:$D$8,Premissas!$B$9)-Q275-R275</x:f>
        <x:v>2601.6329606222653</x:v>
      </x:c>
      <x:c r="V275" s="11" t="n">
        <x:f>U275*F275</x:f>
        <x:v>0</x:v>
      </x:c>
      <x:c r="W275" s="10" t="n">
        <x:f>IF(S275=0,0,U275/S275)</x:f>
        <x:v>0.8759706938122105</x:v>
      </x:c>
      <x:c r="X275" s="11" t="n">
        <x:f>IF(D275-G275&lt;=0,0,Q275/(D275-G275))</x:f>
        <x:v>73.67340787554691</x:v>
      </x:c>
      <x:c r="Y275" s="10" t="n">
        <x:f>IFERROR(U275/(XLOOKUP(A275,Lotes!$A$4:$A$8,Lotes!$D$4:$D$8,Premissas!$B$9)+Q275+R275),0)</x:f>
        <x:v>7.062610609833833</x:v>
      </x:c>
      <x:c r="Z275" s="10" t="n">
        <x:f>IF(L275=0,Y275,Y275/MAX(1,L275/Premissas!$B$7))</x:f>
        <x:v>1.3207081840389268</x:v>
      </x:c>
      <x:c r="AA275" s="9" t="str">
        <x:f>IF(L275=0,"Venda imediata",IF(L275&lt;=60,"Baixo",IF(L275&lt;=120,"Médio","Alto")))</x:f>
        <x:v>Alto</x:v>
      </x:c>
      <x:c r="AB275" s="9" t="str">
        <x:f>IF(U275&lt;0,"Não fazer",IF(AA275="Alto","Risco seca",IF(Z275&gt;=0.03,"Bom giro","Margem ok")))</x:f>
        <x:v>Risco seca</x:v>
      </x:c>
    </x:row>
    <x:row r="276">
      <x:c r="A276" s="9" t="str">
        <x:v>Bezerras pequenas 4@</x:v>
      </x:c>
      <x:c r="B276" s="9" t="str">
        <x:v>Intermediária</x:v>
      </x:c>
      <x:c r="C276" s="9" t="str">
        <x:v>Bom</x:v>
      </x:c>
      <x:c r="D276" s="9" t="n">
        <x:v>10.5</x:v>
      </x:c>
      <x:c r="E276" s="11" t="n">
        <x:f>Premissas!$B$6</x:f>
        <x:v>330</x:v>
      </x:c>
      <x:c r="F276" s="9" t="n">
        <x:f>XLOOKUP(A276,Lotes!$A$4:$A$8,Lotes!$B$4:$B$8,0)</x:f>
        <x:v>0</x:v>
      </x:c>
      <x:c r="G276" s="13" t="n">
        <x:f>XLOOKUP(A276,Lotes!$A$4:$A$8,Lotes!$C$4:$C$8,0)</x:f>
        <x:v>4</x:v>
      </x:c>
      <x:c r="H276" s="13" t="n">
        <x:f>G276*Premissas!$B$5/Premissas!$B$4</x:f>
        <x:v>109.09090909090908</x:v>
      </x:c>
      <x:c r="I276" s="13" t="n">
        <x:f>D276*Premissas!$B$5/Premissas!$B$4</x:f>
        <x:v>286.3636363636363</x:v>
      </x:c>
      <x:c r="J276" s="13" t="n">
        <x:f>MAX(0,I276-H276)</x:f>
        <x:v>177.27272727272725</x:v>
      </x:c>
      <x:c r="K276" s="13" t="n">
        <x:f>SUMIFS('Cenários de GMD'!$C$4:$C$19,'Cenários de GMD'!$A$4:$A$19,B276,'Cenários de GMD'!$B$4:$B$19,C276)</x:f>
        <x:v>0.85</x:v>
      </x:c>
      <x:c r="L276" s="13" t="n">
        <x:f>IF(J276=0,0,J276/K276)</x:f>
        <x:v>208.5561497326203</x:v>
      </x:c>
      <x:c r="M276" s="13" t="n">
        <x:f>((H276+I276)/2)*SUMIFS('Cenários de GMD'!$D$4:$D$19,'Cenários de GMD'!$A$4:$A$19,B276,'Cenários de GMD'!$B$4:$B$19,C276)</x:f>
        <x:v>0.1977272727272727</x:v>
      </x:c>
      <x:c r="N276" s="13" t="n">
        <x:f>((H276+I276)/2)*SUMIFS('Cenários de GMD'!$E$4:$E$19,'Cenários de GMD'!$A$4:$A$19,B276,'Cenários de GMD'!$B$4:$B$19,C276)</x:f>
        <x:v>0.9886363636363634</x:v>
      </x:c>
      <x:c r="O276" s="11" t="n">
        <x:f>M276*Insumos!$E$4+N276*Insumos!$E$5</x:f>
        <x:v>2.561095454545454</x:v>
      </x:c>
      <x:c r="P276" s="11" t="n">
        <x:f>O276*Premissas!$B$7</x:f>
        <x:v>76.83286363636363</x:v>
      </x:c>
      <x:c r="Q276" s="11" t="n">
        <x:f>O276*L276</x:f>
        <x:v>534.132207097715</x:v>
      </x:c>
      <x:c r="R276" s="11" t="n">
        <x:f>Premissas!$B$7*Premissas!$B$8*L276</x:f>
        <x:v>0</x:v>
      </x:c>
      <x:c r="S276" s="11" t="n">
        <x:f>D276*E276</x:f>
        <x:v>3465</x:v>
      </x:c>
      <x:c r="T276" s="11" t="n">
        <x:f>S276*F276</x:f>
        <x:v>0</x:v>
      </x:c>
      <x:c r="U276" s="11" t="n">
        <x:f>S276-XLOOKUP(A276,Lotes!$A$4:$A$8,Lotes!$D$4:$D$8,Premissas!$B$9)-Q276-R276</x:f>
        <x:v>2930.867792902285</x:v>
      </x:c>
      <x:c r="V276" s="11" t="n">
        <x:f>U276*F276</x:f>
        <x:v>0</x:v>
      </x:c>
      <x:c r="W276" s="10" t="n">
        <x:f>IF(S276=0,0,U276/S276)</x:f>
        <x:v>0.8458492908808903</x:v>
      </x:c>
      <x:c r="X276" s="11" t="n">
        <x:f>IF(D276-G276&lt;=0,0,Q276/(D276-G276))</x:f>
        <x:v>82.17418570734077</x:v>
      </x:c>
      <x:c r="Y276" s="10" t="n">
        <x:f>IFERROR(U276/(XLOOKUP(A276,Lotes!$A$4:$A$8,Lotes!$D$4:$D$8,Premissas!$B$9)+Q276+R276),0)</x:f>
        <x:v>5.48715796193527</x:v>
      </x:c>
      <x:c r="Z276" s="10" t="n">
        <x:f>IF(L276=0,Y276,Y276/MAX(1,L276/Premissas!$B$7))</x:f>
        <x:v>0.7893065683706889</x:v>
      </x:c>
      <x:c r="AA276" s="9" t="str">
        <x:f>IF(L276=0,"Venda imediata",IF(L276&lt;=60,"Baixo",IF(L276&lt;=120,"Médio","Alto")))</x:f>
        <x:v>Alto</x:v>
      </x:c>
      <x:c r="AB276" s="9" t="str">
        <x:f>IF(U276&lt;0,"Não fazer",IF(AA276="Alto","Risco seca",IF(Z276&gt;=0.03,"Bom giro","Margem ok")))</x:f>
        <x:v>Risco seca</x:v>
      </x:c>
    </x:row>
    <x:row r="277">
      <x:c r="A277" s="9" t="str">
        <x:v>Bezerras pequenas 4@</x:v>
      </x:c>
      <x:c r="B277" s="9" t="str">
        <x:v>Intermediária</x:v>
      </x:c>
      <x:c r="C277" s="9" t="str">
        <x:v>Bom</x:v>
      </x:c>
      <x:c r="D277" s="9" t="n">
        <x:v>11</x:v>
      </x:c>
      <x:c r="E277" s="11" t="n">
        <x:f>Premissas!$B$6</x:f>
        <x:v>330</x:v>
      </x:c>
      <x:c r="F277" s="9" t="n">
        <x:f>XLOOKUP(A277,Lotes!$A$4:$A$8,Lotes!$B$4:$B$8,0)</x:f>
        <x:v>0</x:v>
      </x:c>
      <x:c r="G277" s="13" t="n">
        <x:f>XLOOKUP(A277,Lotes!$A$4:$A$8,Lotes!$C$4:$C$8,0)</x:f>
        <x:v>4</x:v>
      </x:c>
      <x:c r="H277" s="13" t="n">
        <x:f>G277*Premissas!$B$5/Premissas!$B$4</x:f>
        <x:v>109.09090909090908</x:v>
      </x:c>
      <x:c r="I277" s="13" t="n">
        <x:f>D277*Premissas!$B$5/Premissas!$B$4</x:f>
        <x:v>300</x:v>
      </x:c>
      <x:c r="J277" s="13" t="n">
        <x:f>MAX(0,I277-H277)</x:f>
        <x:v>190.90909090909093</x:v>
      </x:c>
      <x:c r="K277" s="13" t="n">
        <x:f>SUMIFS('Cenários de GMD'!$C$4:$C$19,'Cenários de GMD'!$A$4:$A$19,B277,'Cenários de GMD'!$B$4:$B$19,C277)</x:f>
        <x:v>0.85</x:v>
      </x:c>
      <x:c r="L277" s="13" t="n">
        <x:f>IF(J277=0,0,J277/K277)</x:f>
        <x:v>224.59893048128345</x:v>
      </x:c>
      <x:c r="M277" s="13" t="n">
        <x:f>((H277+I277)/2)*SUMIFS('Cenários de GMD'!$D$4:$D$19,'Cenários de GMD'!$A$4:$A$19,B277,'Cenários de GMD'!$B$4:$B$19,C277)</x:f>
        <x:v>0.20454545454545453</x:v>
      </x:c>
      <x:c r="N277" s="13" t="n">
        <x:f>((H277+I277)/2)*SUMIFS('Cenários de GMD'!$E$4:$E$19,'Cenários de GMD'!$A$4:$A$19,B277,'Cenários de GMD'!$B$4:$B$19,C277)</x:f>
        <x:v>1.0227272727272727</x:v>
      </x:c>
      <x:c r="O277" s="11" t="n">
        <x:f>M277*Insumos!$E$4+N277*Insumos!$E$5</x:f>
        <x:v>2.649409090909091</x:v>
      </x:c>
      <x:c r="P277" s="11" t="n">
        <x:f>O277*Premissas!$B$7</x:f>
        <x:v>79.48227272727273</x:v>
      </x:c>
      <x:c r="Q277" s="11" t="n">
        <x:f>O277*L277</x:f>
        <x:v>595.0544482255713</x:v>
      </x:c>
      <x:c r="R277" s="11" t="n">
        <x:f>Premissas!$B$7*Premissas!$B$8*L277</x:f>
        <x:v>0</x:v>
      </x:c>
      <x:c r="S277" s="11" t="n">
        <x:f>D277*E277</x:f>
        <x:v>3630</x:v>
      </x:c>
      <x:c r="T277" s="11" t="n">
        <x:f>S277*F277</x:f>
        <x:v>0</x:v>
      </x:c>
      <x:c r="U277" s="11" t="n">
        <x:f>S277-XLOOKUP(A277,Lotes!$A$4:$A$8,Lotes!$D$4:$D$8,Premissas!$B$9)-Q277-R277</x:f>
        <x:v>3034.9455517744286</x:v>
      </x:c>
      <x:c r="V277" s="11" t="n">
        <x:f>U277*F277</x:f>
        <x:v>0</x:v>
      </x:c>
      <x:c r="W277" s="10" t="n">
        <x:f>IF(S277=0,0,U277/S277)</x:f>
        <x:v>0.8360731547587957</x:v>
      </x:c>
      <x:c r="X277" s="11" t="n">
        <x:f>IF(D277-G277&lt;=0,0,Q277/(D277-G277))</x:f>
        <x:v>85.00777831793876</x:v>
      </x:c>
      <x:c r="Y277" s="10" t="n">
        <x:f>IFERROR(U277/(XLOOKUP(A277,Lotes!$A$4:$A$8,Lotes!$D$4:$D$8,Premissas!$B$9)+Q277+R277),0)</x:f>
        <x:v>5.100282101620307</x:v>
      </x:c>
      <x:c r="Z277" s="10" t="n">
        <x:f>IF(L277=0,Y277,Y277/MAX(1,L277/Premissas!$B$7))</x:f>
        <x:v>0.6812519664307124</x:v>
      </x:c>
      <x:c r="AA277" s="9" t="str">
        <x:f>IF(L277=0,"Venda imediata",IF(L277&lt;=60,"Baixo",IF(L277&lt;=120,"Médio","Alto")))</x:f>
        <x:v>Alto</x:v>
      </x:c>
      <x:c r="AB277" s="9" t="str">
        <x:f>IF(U277&lt;0,"Não fazer",IF(AA277="Alto","Risco seca",IF(Z277&gt;=0.03,"Bom giro","Margem ok")))</x:f>
        <x:v>Risco seca</x:v>
      </x:c>
    </x:row>
    <x:row r="278">
      <x:c r="A278" s="9" t="str">
        <x:v>Bezerras pequenas 4@</x:v>
      </x:c>
      <x:c r="B278" s="9" t="str">
        <x:v>Intermediária</x:v>
      </x:c>
      <x:c r="C278" s="9" t="str">
        <x:v>Bom</x:v>
      </x:c>
      <x:c r="D278" s="9" t="n">
        <x:v>12</x:v>
      </x:c>
      <x:c r="E278" s="11" t="n">
        <x:f>Premissas!$B$6</x:f>
        <x:v>330</x:v>
      </x:c>
      <x:c r="F278" s="9" t="n">
        <x:f>XLOOKUP(A278,Lotes!$A$4:$A$8,Lotes!$B$4:$B$8,0)</x:f>
        <x:v>0</x:v>
      </x:c>
      <x:c r="G278" s="13" t="n">
        <x:f>XLOOKUP(A278,Lotes!$A$4:$A$8,Lotes!$C$4:$C$8,0)</x:f>
        <x:v>4</x:v>
      </x:c>
      <x:c r="H278" s="13" t="n">
        <x:f>G278*Premissas!$B$5/Premissas!$B$4</x:f>
        <x:v>109.09090909090908</x:v>
      </x:c>
      <x:c r="I278" s="13" t="n">
        <x:f>D278*Premissas!$B$5/Premissas!$B$4</x:f>
        <x:v>327.27272727272725</x:v>
      </x:c>
      <x:c r="J278" s="13" t="n">
        <x:f>MAX(0,I278-H278)</x:f>
        <x:v>218.1818181818182</x:v>
      </x:c>
      <x:c r="K278" s="13" t="n">
        <x:f>SUMIFS('Cenários de GMD'!$C$4:$C$19,'Cenários de GMD'!$A$4:$A$19,B278,'Cenários de GMD'!$B$4:$B$19,C278)</x:f>
        <x:v>0.85</x:v>
      </x:c>
      <x:c r="L278" s="13" t="n">
        <x:f>IF(J278=0,0,J278/K278)</x:f>
        <x:v>256.6844919786096</x:v>
      </x:c>
      <x:c r="M278" s="13" t="n">
        <x:f>((H278+I278)/2)*SUMIFS('Cenários de GMD'!$D$4:$D$19,'Cenários de GMD'!$A$4:$A$19,B278,'Cenários de GMD'!$B$4:$B$19,C278)</x:f>
        <x:v>0.21818181818181817</x:v>
      </x:c>
      <x:c r="N278" s="13" t="n">
        <x:f>((H278+I278)/2)*SUMIFS('Cenários de GMD'!$E$4:$E$19,'Cenários de GMD'!$A$4:$A$19,B278,'Cenários de GMD'!$B$4:$B$19,C278)</x:f>
        <x:v>1.0909090909090908</x:v>
      </x:c>
      <x:c r="O278" s="11" t="n">
        <x:f>M278*Insumos!$E$4+N278*Insumos!$E$5</x:f>
        <x:v>2.8260363636363635</x:v>
      </x:c>
      <x:c r="P278" s="11" t="n">
        <x:f>O278*Premissas!$B$7</x:f>
        <x:v>84.7810909090909</x:v>
      </x:c>
      <x:c r="Q278" s="11" t="n">
        <x:f>O278*L278</x:f>
        <x:v>725.3997083130772</x:v>
      </x:c>
      <x:c r="R278" s="11" t="n">
        <x:f>Premissas!$B$7*Premissas!$B$8*L278</x:f>
        <x:v>0</x:v>
      </x:c>
      <x:c r="S278" s="11" t="n">
        <x:f>D278*E278</x:f>
        <x:v>3960</x:v>
      </x:c>
      <x:c r="T278" s="11" t="n">
        <x:f>S278*F278</x:f>
        <x:v>0</x:v>
      </x:c>
      <x:c r="U278" s="11" t="n">
        <x:f>S278-XLOOKUP(A278,Lotes!$A$4:$A$8,Lotes!$D$4:$D$8,Premissas!$B$9)-Q278-R278</x:f>
        <x:v>3234.600291686923</x:v>
      </x:c>
      <x:c r="V278" s="11" t="n">
        <x:f>U278*F278</x:f>
        <x:v>0</x:v>
      </x:c>
      <x:c r="W278" s="10" t="n">
        <x:f>IF(S278=0,0,U278/S278)</x:f>
        <x:v>0.8168182554764957</x:v>
      </x:c>
      <x:c r="X278" s="11" t="n">
        <x:f>IF(D278-G278&lt;=0,0,Q278/(D278-G278))</x:f>
        <x:v>90.67496353913465</x:v>
      </x:c>
      <x:c r="Y278" s="10" t="n">
        <x:f>IFERROR(U278/(XLOOKUP(A278,Lotes!$A$4:$A$8,Lotes!$D$4:$D$8,Premissas!$B$9)+Q278+R278),0)</x:f>
        <x:v>4.459059267074992</x:v>
      </x:c>
      <x:c r="Z278" s="10" t="n">
        <x:f>IF(L278=0,Y278,Y278/MAX(1,L278/Premissas!$B$7))</x:f>
        <x:v>0.5211525518393897</x:v>
      </x:c>
      <x:c r="AA278" s="9" t="str">
        <x:f>IF(L278=0,"Venda imediata",IF(L278&lt;=60,"Baixo",IF(L278&lt;=120,"Médio","Alto")))</x:f>
        <x:v>Alto</x:v>
      </x:c>
      <x:c r="AB278" s="9" t="str">
        <x:f>IF(U278&lt;0,"Não fazer",IF(AA278="Alto","Risco seca",IF(Z278&gt;=0.03,"Bom giro","Margem ok")))</x:f>
        <x:v>Risco seca</x:v>
      </x:c>
    </x:row>
    <x:row r="279">
      <x:c r="A279" s="9" t="str">
        <x:v>Bezerras pequenas 4@</x:v>
      </x:c>
      <x:c r="B279" s="9" t="str">
        <x:v>Intermediária</x:v>
      </x:c>
      <x:c r="C279" s="9" t="str">
        <x:v>Ótimo</x:v>
      </x:c>
      <x:c r="D279" s="9" t="n">
        <x:v>8.5</x:v>
      </x:c>
      <x:c r="E279" s="11" t="n">
        <x:f>Premissas!$B$6</x:f>
        <x:v>330</x:v>
      </x:c>
      <x:c r="F279" s="9" t="n">
        <x:f>XLOOKUP(A279,Lotes!$A$4:$A$8,Lotes!$B$4:$B$8,0)</x:f>
        <x:v>0</x:v>
      </x:c>
      <x:c r="G279" s="13" t="n">
        <x:f>XLOOKUP(A279,Lotes!$A$4:$A$8,Lotes!$C$4:$C$8,0)</x:f>
        <x:v>4</x:v>
      </x:c>
      <x:c r="H279" s="13" t="n">
        <x:f>G279*Premissas!$B$5/Premissas!$B$4</x:f>
        <x:v>109.09090909090908</x:v>
      </x:c>
      <x:c r="I279" s="13" t="n">
        <x:f>D279*Premissas!$B$5/Premissas!$B$4</x:f>
        <x:v>231.8181818181818</x:v>
      </x:c>
      <x:c r="J279" s="13" t="n">
        <x:f>MAX(0,I279-H279)</x:f>
        <x:v>122.72727272727273</x:v>
      </x:c>
      <x:c r="K279" s="13" t="n">
        <x:f>SUMIFS('Cenários de GMD'!$C$4:$C$19,'Cenários de GMD'!$A$4:$A$19,B279,'Cenários de GMD'!$B$4:$B$19,C279)</x:f>
        <x:v>0.95</x:v>
      </x:c>
      <x:c r="L279" s="13" t="n">
        <x:f>IF(J279=0,0,J279/K279)</x:f>
        <x:v>129.1866028708134</x:v>
      </x:c>
      <x:c r="M279" s="13" t="n">
        <x:f>((H279+I279)/2)*SUMIFS('Cenários de GMD'!$D$4:$D$19,'Cenários de GMD'!$A$4:$A$19,B279,'Cenários de GMD'!$B$4:$B$19,C279)</x:f>
        <x:v>0.17045454545454544</x:v>
      </x:c>
      <x:c r="N279" s="13" t="n">
        <x:f>((H279+I279)/2)*SUMIFS('Cenários de GMD'!$E$4:$E$19,'Cenários de GMD'!$A$4:$A$19,B279,'Cenários de GMD'!$B$4:$B$19,C279)</x:f>
        <x:v>0.8522727272727272</x:v>
      </x:c>
      <x:c r="O279" s="11" t="n">
        <x:f>M279*Insumos!$E$4+N279*Insumos!$E$5</x:f>
        <x:v>2.207840909090909</x:v>
      </x:c>
      <x:c r="P279" s="11" t="n">
        <x:f>O279*Premissas!$B$7</x:f>
        <x:v>66.23522727272726</x:v>
      </x:c>
      <x:c r="Q279" s="11" t="n">
        <x:f>O279*L279</x:f>
        <x:v>285.2234667246629</x:v>
      </x:c>
      <x:c r="R279" s="11" t="n">
        <x:f>Premissas!$B$7*Premissas!$B$8*L279</x:f>
        <x:v>0</x:v>
      </x:c>
      <x:c r="S279" s="11" t="n">
        <x:f>D279*E279</x:f>
        <x:v>2805</x:v>
      </x:c>
      <x:c r="T279" s="11" t="n">
        <x:f>S279*F279</x:f>
        <x:v>0</x:v>
      </x:c>
      <x:c r="U279" s="11" t="n">
        <x:f>S279-XLOOKUP(A279,Lotes!$A$4:$A$8,Lotes!$D$4:$D$8,Premissas!$B$9)-Q279-R279</x:f>
        <x:v>2519.776533275337</x:v>
      </x:c>
      <x:c r="V279" s="11" t="n">
        <x:f>U279*F279</x:f>
        <x:v>0</x:v>
      </x:c>
      <x:c r="W279" s="10" t="n">
        <x:f>IF(S279=0,0,U279/S279)</x:f>
        <x:v>0.8983160546436139</x:v>
      </x:c>
      <x:c r="X279" s="11" t="n">
        <x:f>IF(D279-G279&lt;=0,0,Q279/(D279-G279))</x:f>
        <x:v>63.382992605480645</x:v>
      </x:c>
      <x:c r="Y279" s="10" t="n">
        <x:f>IFERROR(U279/(XLOOKUP(A279,Lotes!$A$4:$A$8,Lotes!$D$4:$D$8,Premissas!$B$9)+Q279+R279),0)</x:f>
        <x:v>8.834394175945464</x:v>
      </x:c>
      <x:c r="Z279" s="10" t="n">
        <x:f>IF(L279=0,Y279,Y279/MAX(1,L279/Premissas!$B$7))</x:f>
        <x:v>2.0515426475251135</x:v>
      </x:c>
      <x:c r="AA279" s="9" t="str">
        <x:f>IF(L279=0,"Venda imediata",IF(L279&lt;=60,"Baixo",IF(L279&lt;=120,"Médio","Alto")))</x:f>
        <x:v>Alto</x:v>
      </x:c>
      <x:c r="AB279" s="9" t="str">
        <x:f>IF(U279&lt;0,"Não fazer",IF(AA279="Alto","Risco seca",IF(Z279&gt;=0.03,"Bom giro","Margem ok")))</x:f>
        <x:v>Risco seca</x:v>
      </x:c>
    </x:row>
    <x:row r="280">
      <x:c r="A280" s="9" t="str">
        <x:v>Bezerras pequenas 4@</x:v>
      </x:c>
      <x:c r="B280" s="9" t="str">
        <x:v>Intermediária</x:v>
      </x:c>
      <x:c r="C280" s="9" t="str">
        <x:v>Ótimo</x:v>
      </x:c>
      <x:c r="D280" s="9" t="n">
        <x:v>9</x:v>
      </x:c>
      <x:c r="E280" s="11" t="n">
        <x:f>Premissas!$B$6</x:f>
        <x:v>330</x:v>
      </x:c>
      <x:c r="F280" s="9" t="n">
        <x:f>XLOOKUP(A280,Lotes!$A$4:$A$8,Lotes!$B$4:$B$8,0)</x:f>
        <x:v>0</x:v>
      </x:c>
      <x:c r="G280" s="13" t="n">
        <x:f>XLOOKUP(A280,Lotes!$A$4:$A$8,Lotes!$C$4:$C$8,0)</x:f>
        <x:v>4</x:v>
      </x:c>
      <x:c r="H280" s="13" t="n">
        <x:f>G280*Premissas!$B$5/Premissas!$B$4</x:f>
        <x:v>109.09090909090908</x:v>
      </x:c>
      <x:c r="I280" s="13" t="n">
        <x:f>D280*Premissas!$B$5/Premissas!$B$4</x:f>
        <x:v>245.45454545454544</x:v>
      </x:c>
      <x:c r="J280" s="13" t="n">
        <x:f>MAX(0,I280-H280)</x:f>
        <x:v>136.36363636363637</x:v>
      </x:c>
      <x:c r="K280" s="13" t="n">
        <x:f>SUMIFS('Cenários de GMD'!$C$4:$C$19,'Cenários de GMD'!$A$4:$A$19,B280,'Cenários de GMD'!$B$4:$B$19,C280)</x:f>
        <x:v>0.95</x:v>
      </x:c>
      <x:c r="L280" s="13" t="n">
        <x:f>IF(J280=0,0,J280/K280)</x:f>
        <x:v>143.54066985645935</x:v>
      </x:c>
      <x:c r="M280" s="13" t="n">
        <x:f>((H280+I280)/2)*SUMIFS('Cenários de GMD'!$D$4:$D$19,'Cenários de GMD'!$A$4:$A$19,B280,'Cenários de GMD'!$B$4:$B$19,C280)</x:f>
        <x:v>0.17727272727272725</x:v>
      </x:c>
      <x:c r="N280" s="13" t="n">
        <x:f>((H280+I280)/2)*SUMIFS('Cenários de GMD'!$E$4:$E$19,'Cenários de GMD'!$A$4:$A$19,B280,'Cenários de GMD'!$B$4:$B$19,C280)</x:f>
        <x:v>0.8863636363636362</x:v>
      </x:c>
      <x:c r="O280" s="11" t="n">
        <x:f>M280*Insumos!$E$4+N280*Insumos!$E$5</x:f>
        <x:v>2.296154545454545</x:v>
      </x:c>
      <x:c r="P280" s="11" t="n">
        <x:f>O280*Premissas!$B$7</x:f>
        <x:v>68.88463636363636</x:v>
      </x:c>
      <x:c r="Q280" s="11" t="n">
        <x:f>O280*L280</x:f>
        <x:v>329.5915615484993</x:v>
      </x:c>
      <x:c r="R280" s="11" t="n">
        <x:f>Premissas!$B$7*Premissas!$B$8*L280</x:f>
        <x:v>0</x:v>
      </x:c>
      <x:c r="S280" s="11" t="n">
        <x:f>D280*E280</x:f>
        <x:v>2970</x:v>
      </x:c>
      <x:c r="T280" s="11" t="n">
        <x:f>S280*F280</x:f>
        <x:v>0</x:v>
      </x:c>
      <x:c r="U280" s="11" t="n">
        <x:f>S280-XLOOKUP(A280,Lotes!$A$4:$A$8,Lotes!$D$4:$D$8,Premissas!$B$9)-Q280-R280</x:f>
        <x:v>2640.408438451501</x:v>
      </x:c>
      <x:c r="V280" s="11" t="n">
        <x:f>U280*F280</x:f>
        <x:v>0</x:v>
      </x:c>
      <x:c r="W280" s="10" t="n">
        <x:f>IF(S280=0,0,U280/S280)</x:f>
        <x:v>0.8890264102530306</x:v>
      </x:c>
      <x:c r="X280" s="11" t="n">
        <x:f>IF(D280-G280&lt;=0,0,Q280/(D280-G280))</x:f>
        <x:v>65.91831230969987</x:v>
      </x:c>
      <x:c r="Y280" s="10" t="n">
        <x:f>IFERROR(U280/(XLOOKUP(A280,Lotes!$A$4:$A$8,Lotes!$D$4:$D$8,Premissas!$B$9)+Q280+R280),0)</x:f>
        <x:v>8.011153034520166</x:v>
      </x:c>
      <x:c r="Z280" s="10" t="n">
        <x:f>IF(L280=0,Y280,Y280/MAX(1,L280/Premissas!$B$7))</x:f>
        <x:v>1.6743309842147147</x:v>
      </x:c>
      <x:c r="AA280" s="9" t="str">
        <x:f>IF(L280=0,"Venda imediata",IF(L280&lt;=60,"Baixo",IF(L280&lt;=120,"Médio","Alto")))</x:f>
        <x:v>Alto</x:v>
      </x:c>
      <x:c r="AB280" s="9" t="str">
        <x:f>IF(U280&lt;0,"Não fazer",IF(AA280="Alto","Risco seca",IF(Z280&gt;=0.03,"Bom giro","Margem ok")))</x:f>
        <x:v>Risco seca</x:v>
      </x:c>
    </x:row>
    <x:row r="281">
      <x:c r="A281" s="9" t="str">
        <x:v>Bezerras pequenas 4@</x:v>
      </x:c>
      <x:c r="B281" s="9" t="str">
        <x:v>Intermediária</x:v>
      </x:c>
      <x:c r="C281" s="9" t="str">
        <x:v>Ótimo</x:v>
      </x:c>
      <x:c r="D281" s="9" t="n">
        <x:v>10.5</x:v>
      </x:c>
      <x:c r="E281" s="11" t="n">
        <x:f>Premissas!$B$6</x:f>
        <x:v>330</x:v>
      </x:c>
      <x:c r="F281" s="9" t="n">
        <x:f>XLOOKUP(A281,Lotes!$A$4:$A$8,Lotes!$B$4:$B$8,0)</x:f>
        <x:v>0</x:v>
      </x:c>
      <x:c r="G281" s="13" t="n">
        <x:f>XLOOKUP(A281,Lotes!$A$4:$A$8,Lotes!$C$4:$C$8,0)</x:f>
        <x:v>4</x:v>
      </x:c>
      <x:c r="H281" s="13" t="n">
        <x:f>G281*Premissas!$B$5/Premissas!$B$4</x:f>
        <x:v>109.09090909090908</x:v>
      </x:c>
      <x:c r="I281" s="13" t="n">
        <x:f>D281*Premissas!$B$5/Premissas!$B$4</x:f>
        <x:v>286.3636363636363</x:v>
      </x:c>
      <x:c r="J281" s="13" t="n">
        <x:f>MAX(0,I281-H281)</x:f>
        <x:v>177.27272727272725</x:v>
      </x:c>
      <x:c r="K281" s="13" t="n">
        <x:f>SUMIFS('Cenários de GMD'!$C$4:$C$19,'Cenários de GMD'!$A$4:$A$19,B281,'Cenários de GMD'!$B$4:$B$19,C281)</x:f>
        <x:v>0.95</x:v>
      </x:c>
      <x:c r="L281" s="13" t="n">
        <x:f>IF(J281=0,0,J281/K281)</x:f>
        <x:v>186.60287081339712</x:v>
      </x:c>
      <x:c r="M281" s="13" t="n">
        <x:f>((H281+I281)/2)*SUMIFS('Cenários de GMD'!$D$4:$D$19,'Cenários de GMD'!$A$4:$A$19,B281,'Cenários de GMD'!$B$4:$B$19,C281)</x:f>
        <x:v>0.1977272727272727</x:v>
      </x:c>
      <x:c r="N281" s="13" t="n">
        <x:f>((H281+I281)/2)*SUMIFS('Cenários de GMD'!$E$4:$E$19,'Cenários de GMD'!$A$4:$A$19,B281,'Cenários de GMD'!$B$4:$B$19,C281)</x:f>
        <x:v>0.9886363636363634</x:v>
      </x:c>
      <x:c r="O281" s="11" t="n">
        <x:f>M281*Insumos!$E$4+N281*Insumos!$E$5</x:f>
        <x:v>2.561095454545454</x:v>
      </x:c>
      <x:c r="P281" s="11" t="n">
        <x:f>O281*Premissas!$B$7</x:f>
        <x:v>76.83286363636363</x:v>
      </x:c>
      <x:c r="Q281" s="11" t="n">
        <x:f>O281*L281</x:f>
        <x:v>477.90776424532396</x:v>
      </x:c>
      <x:c r="R281" s="11" t="n">
        <x:f>Premissas!$B$7*Premissas!$B$8*L281</x:f>
        <x:v>0</x:v>
      </x:c>
      <x:c r="S281" s="11" t="n">
        <x:f>D281*E281</x:f>
        <x:v>3465</x:v>
      </x:c>
      <x:c r="T281" s="11" t="n">
        <x:f>S281*F281</x:f>
        <x:v>0</x:v>
      </x:c>
      <x:c r="U281" s="11" t="n">
        <x:f>S281-XLOOKUP(A281,Lotes!$A$4:$A$8,Lotes!$D$4:$D$8,Premissas!$B$9)-Q281-R281</x:f>
        <x:v>2987.092235754676</x:v>
      </x:c>
      <x:c r="V281" s="11" t="n">
        <x:f>U281*F281</x:f>
        <x:v>0</x:v>
      </x:c>
      <x:c r="W281" s="10" t="n">
        <x:f>IF(S281=0,0,U281/S281)</x:f>
        <x:v>0.8620756813144809</x:v>
      </x:c>
      <x:c r="X281" s="11" t="n">
        <x:f>IF(D281-G281&lt;=0,0,Q281/(D281-G281))</x:f>
        <x:v>73.52427142235753</x:v>
      </x:c>
      <x:c r="Y281" s="10" t="n">
        <x:f>IFERROR(U281/(XLOOKUP(A281,Lotes!$A$4:$A$8,Lotes!$D$4:$D$8,Premissas!$B$9)+Q281+R281),0)</x:f>
        <x:v>6.250353016280595</x:v>
      </x:c>
      <x:c r="Z281" s="10" t="n">
        <x:f>IF(L281=0,Y281,Y281/MAX(1,L281/Premissas!$B$7))</x:f>
        <x:v>1.0048644464635725</x:v>
      </x:c>
      <x:c r="AA281" s="9" t="str">
        <x:f>IF(L281=0,"Venda imediata",IF(L281&lt;=60,"Baixo",IF(L281&lt;=120,"Médio","Alto")))</x:f>
        <x:v>Alto</x:v>
      </x:c>
      <x:c r="AB281" s="9" t="str">
        <x:f>IF(U281&lt;0,"Não fazer",IF(AA281="Alto","Risco seca",IF(Z281&gt;=0.03,"Bom giro","Margem ok")))</x:f>
        <x:v>Risco seca</x:v>
      </x:c>
    </x:row>
    <x:row r="282">
      <x:c r="A282" s="9" t="str">
        <x:v>Bezerras pequenas 4@</x:v>
      </x:c>
      <x:c r="B282" s="9" t="str">
        <x:v>Intermediária</x:v>
      </x:c>
      <x:c r="C282" s="9" t="str">
        <x:v>Ótimo</x:v>
      </x:c>
      <x:c r="D282" s="9" t="n">
        <x:v>11</x:v>
      </x:c>
      <x:c r="E282" s="11" t="n">
        <x:f>Premissas!$B$6</x:f>
        <x:v>330</x:v>
      </x:c>
      <x:c r="F282" s="9" t="n">
        <x:f>XLOOKUP(A282,Lotes!$A$4:$A$8,Lotes!$B$4:$B$8,0)</x:f>
        <x:v>0</x:v>
      </x:c>
      <x:c r="G282" s="13" t="n">
        <x:f>XLOOKUP(A282,Lotes!$A$4:$A$8,Lotes!$C$4:$C$8,0)</x:f>
        <x:v>4</x:v>
      </x:c>
      <x:c r="H282" s="13" t="n">
        <x:f>G282*Premissas!$B$5/Premissas!$B$4</x:f>
        <x:v>109.09090909090908</x:v>
      </x:c>
      <x:c r="I282" s="13" t="n">
        <x:f>D282*Premissas!$B$5/Premissas!$B$4</x:f>
        <x:v>300</x:v>
      </x:c>
      <x:c r="J282" s="13" t="n">
        <x:f>MAX(0,I282-H282)</x:f>
        <x:v>190.90909090909093</x:v>
      </x:c>
      <x:c r="K282" s="13" t="n">
        <x:f>SUMIFS('Cenários de GMD'!$C$4:$C$19,'Cenários de GMD'!$A$4:$A$19,B282,'Cenários de GMD'!$B$4:$B$19,C282)</x:f>
        <x:v>0.95</x:v>
      </x:c>
      <x:c r="L282" s="13" t="n">
        <x:f>IF(J282=0,0,J282/K282)</x:f>
        <x:v>200.9569377990431</x:v>
      </x:c>
      <x:c r="M282" s="13" t="n">
        <x:f>((H282+I282)/2)*SUMIFS('Cenários de GMD'!$D$4:$D$19,'Cenários de GMD'!$A$4:$A$19,B282,'Cenários de GMD'!$B$4:$B$19,C282)</x:f>
        <x:v>0.20454545454545453</x:v>
      </x:c>
      <x:c r="N282" s="13" t="n">
        <x:f>((H282+I282)/2)*SUMIFS('Cenários de GMD'!$E$4:$E$19,'Cenários de GMD'!$A$4:$A$19,B282,'Cenários de GMD'!$B$4:$B$19,C282)</x:f>
        <x:v>1.0227272727272727</x:v>
      </x:c>
      <x:c r="O282" s="11" t="n">
        <x:f>M282*Insumos!$E$4+N282*Insumos!$E$5</x:f>
        <x:v>2.649409090909091</x:v>
      </x:c>
      <x:c r="P282" s="11" t="n">
        <x:f>O282*Premissas!$B$7</x:f>
        <x:v>79.48227272727273</x:v>
      </x:c>
      <x:c r="Q282" s="11" t="n">
        <x:f>O282*L282</x:f>
        <x:v>532.4171378860375</x:v>
      </x:c>
      <x:c r="R282" s="11" t="n">
        <x:f>Premissas!$B$7*Premissas!$B$8*L282</x:f>
        <x:v>0</x:v>
      </x:c>
      <x:c r="S282" s="11" t="n">
        <x:f>D282*E282</x:f>
        <x:v>3630</x:v>
      </x:c>
      <x:c r="T282" s="11" t="n">
        <x:f>S282*F282</x:f>
        <x:v>0</x:v>
      </x:c>
      <x:c r="U282" s="11" t="n">
        <x:f>S282-XLOOKUP(A282,Lotes!$A$4:$A$8,Lotes!$D$4:$D$8,Premissas!$B$9)-Q282-R282</x:f>
        <x:v>3097.5828621139626</x:v>
      </x:c>
      <x:c r="V282" s="11" t="n">
        <x:f>U282*F282</x:f>
        <x:v>0</x:v>
      </x:c>
      <x:c r="W282" s="10" t="n">
        <x:f>IF(S282=0,0,U282/S282)</x:f>
        <x:v>0.8533286121526068</x:v>
      </x:c>
      <x:c r="X282" s="11" t="n">
        <x:f>IF(D282-G282&lt;=0,0,Q282/(D282-G282))</x:f>
        <x:v>76.05959112657679</x:v>
      </x:c>
      <x:c r="Y282" s="10" t="n">
        <x:f>IFERROR(U282/(XLOOKUP(A282,Lotes!$A$4:$A$8,Lotes!$D$4:$D$8,Premissas!$B$9)+Q282+R282),0)</x:f>
        <x:v>5.817962348869754</x:v>
      </x:c>
      <x:c r="Z282" s="10" t="n">
        <x:f>IF(L282=0,Y282,Y282/MAX(1,L282/Premissas!$B$7))</x:f>
        <x:v>0.8685386649384131</x:v>
      </x:c>
      <x:c r="AA282" s="9" t="str">
        <x:f>IF(L282=0,"Venda imediata",IF(L282&lt;=60,"Baixo",IF(L282&lt;=120,"Médio","Alto")))</x:f>
        <x:v>Alto</x:v>
      </x:c>
      <x:c r="AB282" s="9" t="str">
        <x:f>IF(U282&lt;0,"Não fazer",IF(AA282="Alto","Risco seca",IF(Z282&gt;=0.03,"Bom giro","Margem ok")))</x:f>
        <x:v>Risco seca</x:v>
      </x:c>
    </x:row>
    <x:row r="283">
      <x:c r="A283" s="9" t="str">
        <x:v>Bezerras pequenas 4@</x:v>
      </x:c>
      <x:c r="B283" s="9" t="str">
        <x:v>Intermediária</x:v>
      </x:c>
      <x:c r="C283" s="9" t="str">
        <x:v>Ótimo</x:v>
      </x:c>
      <x:c r="D283" s="9" t="n">
        <x:v>12</x:v>
      </x:c>
      <x:c r="E283" s="11" t="n">
        <x:f>Premissas!$B$6</x:f>
        <x:v>330</x:v>
      </x:c>
      <x:c r="F283" s="9" t="n">
        <x:f>XLOOKUP(A283,Lotes!$A$4:$A$8,Lotes!$B$4:$B$8,0)</x:f>
        <x:v>0</x:v>
      </x:c>
      <x:c r="G283" s="13" t="n">
        <x:f>XLOOKUP(A283,Lotes!$A$4:$A$8,Lotes!$C$4:$C$8,0)</x:f>
        <x:v>4</x:v>
      </x:c>
      <x:c r="H283" s="13" t="n">
        <x:f>G283*Premissas!$B$5/Premissas!$B$4</x:f>
        <x:v>109.09090909090908</x:v>
      </x:c>
      <x:c r="I283" s="13" t="n">
        <x:f>D283*Premissas!$B$5/Premissas!$B$4</x:f>
        <x:v>327.27272727272725</x:v>
      </x:c>
      <x:c r="J283" s="13" t="n">
        <x:f>MAX(0,I283-H283)</x:f>
        <x:v>218.1818181818182</x:v>
      </x:c>
      <x:c r="K283" s="13" t="n">
        <x:f>SUMIFS('Cenários de GMD'!$C$4:$C$19,'Cenários de GMD'!$A$4:$A$19,B283,'Cenários de GMD'!$B$4:$B$19,C283)</x:f>
        <x:v>0.95</x:v>
      </x:c>
      <x:c r="L283" s="13" t="n">
        <x:f>IF(J283=0,0,J283/K283)</x:f>
        <x:v>229.66507177033495</x:v>
      </x:c>
      <x:c r="M283" s="13" t="n">
        <x:f>((H283+I283)/2)*SUMIFS('Cenários de GMD'!$D$4:$D$19,'Cenários de GMD'!$A$4:$A$19,B283,'Cenários de GMD'!$B$4:$B$19,C283)</x:f>
        <x:v>0.21818181818181817</x:v>
      </x:c>
      <x:c r="N283" s="13" t="n">
        <x:f>((H283+I283)/2)*SUMIFS('Cenários de GMD'!$E$4:$E$19,'Cenários de GMD'!$A$4:$A$19,B283,'Cenários de GMD'!$B$4:$B$19,C283)</x:f>
        <x:v>1.0909090909090908</x:v>
      </x:c>
      <x:c r="O283" s="11" t="n">
        <x:f>M283*Insumos!$E$4+N283*Insumos!$E$5</x:f>
        <x:v>2.8260363636363635</x:v>
      </x:c>
      <x:c r="P283" s="11" t="n">
        <x:f>O283*Premissas!$B$7</x:f>
        <x:v>84.7810909090909</x:v>
      </x:c>
      <x:c r="Q283" s="11" t="n">
        <x:f>O283*L283</x:f>
        <x:v>649.0418442801218</x:v>
      </x:c>
      <x:c r="R283" s="11" t="n">
        <x:f>Premissas!$B$7*Premissas!$B$8*L283</x:f>
        <x:v>0</x:v>
      </x:c>
      <x:c r="S283" s="11" t="n">
        <x:f>D283*E283</x:f>
        <x:v>3960</x:v>
      </x:c>
      <x:c r="T283" s="11" t="n">
        <x:f>S283*F283</x:f>
        <x:v>0</x:v>
      </x:c>
      <x:c r="U283" s="11" t="n">
        <x:f>S283-XLOOKUP(A283,Lotes!$A$4:$A$8,Lotes!$D$4:$D$8,Premissas!$B$9)-Q283-R283</x:f>
        <x:v>3310.958155719878</x:v>
      </x:c>
      <x:c r="V283" s="11" t="n">
        <x:f>U283*F283</x:f>
        <x:v>0</x:v>
      </x:c>
      <x:c r="W283" s="10" t="n">
        <x:f>IF(S283=0,0,U283/S283)</x:f>
        <x:v>0.8361005443737066</x:v>
      </x:c>
      <x:c r="X283" s="11" t="n">
        <x:f>IF(D283-G283&lt;=0,0,Q283/(D283-G283))</x:f>
        <x:v>81.13023053501523</x:v>
      </x:c>
      <x:c r="Y283" s="10" t="n">
        <x:f>IFERROR(U283/(XLOOKUP(A283,Lotes!$A$4:$A$8,Lotes!$D$4:$D$8,Premissas!$B$9)+Q283+R283),0)</x:f>
        <x:v>5.101301533789695</x:v>
      </x:c>
      <x:c r="Z283" s="10" t="n">
        <x:f>IF(L283=0,Y283,Y283/MAX(1,L283/Premissas!$B$7))</x:f>
        <x:v>0.6663575128512789</x:v>
      </x:c>
      <x:c r="AA283" s="9" t="str">
        <x:f>IF(L283=0,"Venda imediata",IF(L283&lt;=60,"Baixo",IF(L283&lt;=120,"Médio","Alto")))</x:f>
        <x:v>Alto</x:v>
      </x:c>
      <x:c r="AB283" s="9" t="str">
        <x:f>IF(U283&lt;0,"Não fazer",IF(AA283="Alto","Risco seca",IF(Z283&gt;=0.03,"Bom giro","Margem ok")))</x:f>
        <x:v>Risco seca</x:v>
      </x:c>
    </x:row>
    <x:row r="284">
      <x:c r="A284" s="9" t="str">
        <x:v>Bezerras pequenas 4@</x:v>
      </x:c>
      <x:c r="B284" s="9" t="str">
        <x:v>Agressiva</x:v>
      </x:c>
      <x:c r="C284" s="9" t="str">
        <x:v>Conservador</x:v>
      </x:c>
      <x:c r="D284" s="9" t="n">
        <x:v>8.5</x:v>
      </x:c>
      <x:c r="E284" s="11" t="n">
        <x:f>Premissas!$B$6</x:f>
        <x:v>330</x:v>
      </x:c>
      <x:c r="F284" s="9" t="n">
        <x:f>XLOOKUP(A284,Lotes!$A$4:$A$8,Lotes!$B$4:$B$8,0)</x:f>
        <x:v>0</x:v>
      </x:c>
      <x:c r="G284" s="13" t="n">
        <x:f>XLOOKUP(A284,Lotes!$A$4:$A$8,Lotes!$C$4:$C$8,0)</x:f>
        <x:v>4</x:v>
      </x:c>
      <x:c r="H284" s="13" t="n">
        <x:f>G284*Premissas!$B$5/Premissas!$B$4</x:f>
        <x:v>109.09090909090908</x:v>
      </x:c>
      <x:c r="I284" s="13" t="n">
        <x:f>D284*Premissas!$B$5/Premissas!$B$4</x:f>
        <x:v>231.8181818181818</x:v>
      </x:c>
      <x:c r="J284" s="13" t="n">
        <x:f>MAX(0,I284-H284)</x:f>
        <x:v>122.72727272727273</x:v>
      </x:c>
      <x:c r="K284" s="13" t="n">
        <x:f>SUMIFS('Cenários de GMD'!$C$4:$C$19,'Cenários de GMD'!$A$4:$A$19,B284,'Cenários de GMD'!$B$4:$B$19,C284)</x:f>
        <x:v>0.7</x:v>
      </x:c>
      <x:c r="L284" s="13" t="n">
        <x:f>IF(J284=0,0,J284/K284)</x:f>
        <x:v>175.32467532467535</x:v>
      </x:c>
      <x:c r="M284" s="13" t="n">
        <x:f>((H284+I284)/2)*SUMIFS('Cenários de GMD'!$D$4:$D$19,'Cenários de GMD'!$A$4:$A$19,B284,'Cenários de GMD'!$B$4:$B$19,C284)</x:f>
        <x:v>0.17045454545454544</x:v>
      </x:c>
      <x:c r="N284" s="13" t="n">
        <x:f>((H284+I284)/2)*SUMIFS('Cenários de GMD'!$E$4:$E$19,'Cenários de GMD'!$A$4:$A$19,B284,'Cenários de GMD'!$B$4:$B$19,C284)</x:f>
        <x:v>1.1931818181818181</x:v>
      </x:c>
      <x:c r="O284" s="11" t="n">
        <x:f>M284*Insumos!$E$4+N284*Insumos!$E$5</x:f>
        <x:v>2.8839772727272726</x:v>
      </x:c>
      <x:c r="P284" s="11" t="n">
        <x:f>O284*Premissas!$B$7</x:f>
        <x:v>86.51931818181818</x:v>
      </x:c>
      <x:c r="Q284" s="11" t="n">
        <x:f>O284*L284</x:f>
        <x:v>505.6323789846518</x:v>
      </x:c>
      <x:c r="R284" s="11" t="n">
        <x:f>Premissas!$B$7*Premissas!$B$8*L284</x:f>
        <x:v>0</x:v>
      </x:c>
      <x:c r="S284" s="11" t="n">
        <x:f>D284*E284</x:f>
        <x:v>2805</x:v>
      </x:c>
      <x:c r="T284" s="11" t="n">
        <x:f>S284*F284</x:f>
        <x:v>0</x:v>
      </x:c>
      <x:c r="U284" s="11" t="n">
        <x:f>S284-XLOOKUP(A284,Lotes!$A$4:$A$8,Lotes!$D$4:$D$8,Premissas!$B$9)-Q284-R284</x:f>
        <x:v>2299.367621015348</x:v>
      </x:c>
      <x:c r="V284" s="11" t="n">
        <x:f>U284*F284</x:f>
        <x:v>0</x:v>
      </x:c>
      <x:c r="W284" s="10" t="n">
        <x:f>IF(S284=0,0,U284/S284)</x:f>
        <x:v>0.8197389023227623</x:v>
      </x:c>
      <x:c r="X284" s="11" t="n">
        <x:f>IF(D284-G284&lt;=0,0,Q284/(D284-G284))</x:f>
        <x:v>112.36275088547818</x:v>
      </x:c>
      <x:c r="Y284" s="10" t="n">
        <x:f>IFERROR(U284/(XLOOKUP(A284,Lotes!$A$4:$A$8,Lotes!$D$4:$D$8,Premissas!$B$9)+Q284+R284),0)</x:f>
        <x:v>4.54750865763908</x:v>
      </x:c>
      <x:c r="Z284" s="10" t="n">
        <x:f>IF(L284=0,Y284,Y284/MAX(1,L284/Premissas!$B$7))</x:f>
        <x:v>0.7781292591960202</x:v>
      </x:c>
      <x:c r="AA284" s="9" t="str">
        <x:f>IF(L284=0,"Venda imediata",IF(L284&lt;=60,"Baixo",IF(L284&lt;=120,"Médio","Alto")))</x:f>
        <x:v>Alto</x:v>
      </x:c>
      <x:c r="AB284" s="9" t="str">
        <x:f>IF(U284&lt;0,"Não fazer",IF(AA284="Alto","Risco seca",IF(Z284&gt;=0.03,"Bom giro","Margem ok")))</x:f>
        <x:v>Risco seca</x:v>
      </x:c>
    </x:row>
    <x:row r="285">
      <x:c r="A285" s="9" t="str">
        <x:v>Bezerras pequenas 4@</x:v>
      </x:c>
      <x:c r="B285" s="9" t="str">
        <x:v>Agressiva</x:v>
      </x:c>
      <x:c r="C285" s="9" t="str">
        <x:v>Conservador</x:v>
      </x:c>
      <x:c r="D285" s="9" t="n">
        <x:v>9</x:v>
      </x:c>
      <x:c r="E285" s="11" t="n">
        <x:f>Premissas!$B$6</x:f>
        <x:v>330</x:v>
      </x:c>
      <x:c r="F285" s="9" t="n">
        <x:f>XLOOKUP(A285,Lotes!$A$4:$A$8,Lotes!$B$4:$B$8,0)</x:f>
        <x:v>0</x:v>
      </x:c>
      <x:c r="G285" s="13" t="n">
        <x:f>XLOOKUP(A285,Lotes!$A$4:$A$8,Lotes!$C$4:$C$8,0)</x:f>
        <x:v>4</x:v>
      </x:c>
      <x:c r="H285" s="13" t="n">
        <x:f>G285*Premissas!$B$5/Premissas!$B$4</x:f>
        <x:v>109.09090909090908</x:v>
      </x:c>
      <x:c r="I285" s="13" t="n">
        <x:f>D285*Premissas!$B$5/Premissas!$B$4</x:f>
        <x:v>245.45454545454544</x:v>
      </x:c>
      <x:c r="J285" s="13" t="n">
        <x:f>MAX(0,I285-H285)</x:f>
        <x:v>136.36363636363637</x:v>
      </x:c>
      <x:c r="K285" s="13" t="n">
        <x:f>SUMIFS('Cenários de GMD'!$C$4:$C$19,'Cenários de GMD'!$A$4:$A$19,B285,'Cenários de GMD'!$B$4:$B$19,C285)</x:f>
        <x:v>0.7</x:v>
      </x:c>
      <x:c r="L285" s="13" t="n">
        <x:f>IF(J285=0,0,J285/K285)</x:f>
        <x:v>194.80519480519484</x:v>
      </x:c>
      <x:c r="M285" s="13" t="n">
        <x:f>((H285+I285)/2)*SUMIFS('Cenários de GMD'!$D$4:$D$19,'Cenários de GMD'!$A$4:$A$19,B285,'Cenários de GMD'!$B$4:$B$19,C285)</x:f>
        <x:v>0.17727272727272725</x:v>
      </x:c>
      <x:c r="N285" s="13" t="n">
        <x:f>((H285+I285)/2)*SUMIFS('Cenários de GMD'!$E$4:$E$19,'Cenários de GMD'!$A$4:$A$19,B285,'Cenários de GMD'!$B$4:$B$19,C285)</x:f>
        <x:v>1.2409090909090907</x:v>
      </x:c>
      <x:c r="O285" s="11" t="n">
        <x:f>M285*Insumos!$E$4+N285*Insumos!$E$5</x:f>
        <x:v>2.9993363636363632</x:v>
      </x:c>
      <x:c r="P285" s="11" t="n">
        <x:f>O285*Premissas!$B$7</x:f>
        <x:v>89.9800909090909</x:v>
      </x:c>
      <x:c r="Q285" s="11" t="n">
        <x:f>O285*L285</x:f>
        <x:v>584.2863046044864</x:v>
      </x:c>
      <x:c r="R285" s="11" t="n">
        <x:f>Premissas!$B$7*Premissas!$B$8*L285</x:f>
        <x:v>0</x:v>
      </x:c>
      <x:c r="S285" s="11" t="n">
        <x:f>D285*E285</x:f>
        <x:v>2970</x:v>
      </x:c>
      <x:c r="T285" s="11" t="n">
        <x:f>S285*F285</x:f>
        <x:v>0</x:v>
      </x:c>
      <x:c r="U285" s="11" t="n">
        <x:f>S285-XLOOKUP(A285,Lotes!$A$4:$A$8,Lotes!$D$4:$D$8,Premissas!$B$9)-Q285-R285</x:f>
        <x:v>2385.7136953955137</x:v>
      </x:c>
      <x:c r="V285" s="11" t="n">
        <x:f>U285*F285</x:f>
        <x:v>0</x:v>
      </x:c>
      <x:c r="W285" s="10" t="n">
        <x:f>IF(S285=0,0,U285/S285)</x:f>
        <x:v>0.803270604510274</x:v>
      </x:c>
      <x:c r="X285" s="11" t="n">
        <x:f>IF(D285-G285&lt;=0,0,Q285/(D285-G285))</x:f>
        <x:v>116.85726092089729</x:v>
      </x:c>
      <x:c r="Y285" s="10" t="n">
        <x:f>IFERROR(U285/(XLOOKUP(A285,Lotes!$A$4:$A$8,Lotes!$D$4:$D$8,Premissas!$B$9)+Q285+R285),0)</x:f>
        <x:v>4.083124448741692</x:v>
      </x:c>
      <x:c r="Z285" s="10" t="n">
        <x:f>IF(L285=0,Y285,Y285/MAX(1,L285/Premissas!$B$7))</x:f>
        <x:v>0.6288011651062203</x:v>
      </x:c>
      <x:c r="AA285" s="9" t="str">
        <x:f>IF(L285=0,"Venda imediata",IF(L285&lt;=60,"Baixo",IF(L285&lt;=120,"Médio","Alto")))</x:f>
        <x:v>Alto</x:v>
      </x:c>
      <x:c r="AB285" s="9" t="str">
        <x:f>IF(U285&lt;0,"Não fazer",IF(AA285="Alto","Risco seca",IF(Z285&gt;=0.03,"Bom giro","Margem ok")))</x:f>
        <x:v>Risco seca</x:v>
      </x:c>
    </x:row>
    <x:row r="286">
      <x:c r="A286" s="9" t="str">
        <x:v>Bezerras pequenas 4@</x:v>
      </x:c>
      <x:c r="B286" s="9" t="str">
        <x:v>Agressiva</x:v>
      </x:c>
      <x:c r="C286" s="9" t="str">
        <x:v>Conservador</x:v>
      </x:c>
      <x:c r="D286" s="9" t="n">
        <x:v>10.5</x:v>
      </x:c>
      <x:c r="E286" s="11" t="n">
        <x:f>Premissas!$B$6</x:f>
        <x:v>330</x:v>
      </x:c>
      <x:c r="F286" s="9" t="n">
        <x:f>XLOOKUP(A286,Lotes!$A$4:$A$8,Lotes!$B$4:$B$8,0)</x:f>
        <x:v>0</x:v>
      </x:c>
      <x:c r="G286" s="13" t="n">
        <x:f>XLOOKUP(A286,Lotes!$A$4:$A$8,Lotes!$C$4:$C$8,0)</x:f>
        <x:v>4</x:v>
      </x:c>
      <x:c r="H286" s="13" t="n">
        <x:f>G286*Premissas!$B$5/Premissas!$B$4</x:f>
        <x:v>109.09090909090908</x:v>
      </x:c>
      <x:c r="I286" s="13" t="n">
        <x:f>D286*Premissas!$B$5/Premissas!$B$4</x:f>
        <x:v>286.3636363636363</x:v>
      </x:c>
      <x:c r="J286" s="13" t="n">
        <x:f>MAX(0,I286-H286)</x:f>
        <x:v>177.27272727272725</x:v>
      </x:c>
      <x:c r="K286" s="13" t="n">
        <x:f>SUMIFS('Cenários de GMD'!$C$4:$C$19,'Cenários de GMD'!$A$4:$A$19,B286,'Cenários de GMD'!$B$4:$B$19,C286)</x:f>
        <x:v>0.7</x:v>
      </x:c>
      <x:c r="L286" s="13" t="n">
        <x:f>IF(J286=0,0,J286/K286)</x:f>
        <x:v>253.24675324675323</x:v>
      </x:c>
      <x:c r="M286" s="13" t="n">
        <x:f>((H286+I286)/2)*SUMIFS('Cenários de GMD'!$D$4:$D$19,'Cenários de GMD'!$A$4:$A$19,B286,'Cenários de GMD'!$B$4:$B$19,C286)</x:f>
        <x:v>0.1977272727272727</x:v>
      </x:c>
      <x:c r="N286" s="13" t="n">
        <x:f>((H286+I286)/2)*SUMIFS('Cenários de GMD'!$E$4:$E$19,'Cenários de GMD'!$A$4:$A$19,B286,'Cenários de GMD'!$B$4:$B$19,C286)</x:f>
        <x:v>1.3840909090909088</x:v>
      </x:c>
      <x:c r="O286" s="11" t="n">
        <x:f>M286*Insumos!$E$4+N286*Insumos!$E$5</x:f>
        <x:v>3.3454136363636358</x:v>
      </x:c>
      <x:c r="P286" s="11" t="n">
        <x:f>O286*Premissas!$B$7</x:f>
        <x:v>100.36240909090907</x:v>
      </x:c>
      <x:c r="Q286" s="11" t="n">
        <x:f>O286*L286</x:f>
        <x:v>847.2151416765051</x:v>
      </x:c>
      <x:c r="R286" s="11" t="n">
        <x:f>Premissas!$B$7*Premissas!$B$8*L286</x:f>
        <x:v>0</x:v>
      </x:c>
      <x:c r="S286" s="11" t="n">
        <x:f>D286*E286</x:f>
        <x:v>3465</x:v>
      </x:c>
      <x:c r="T286" s="11" t="n">
        <x:f>S286*F286</x:f>
        <x:v>0</x:v>
      </x:c>
      <x:c r="U286" s="11" t="n">
        <x:f>S286-XLOOKUP(A286,Lotes!$A$4:$A$8,Lotes!$D$4:$D$8,Premissas!$B$9)-Q286-R286</x:f>
        <x:v>2617.784858323495</x:v>
      </x:c>
      <x:c r="V286" s="11" t="n">
        <x:f>U286*F286</x:f>
        <x:v>0</x:v>
      </x:c>
      <x:c r="W286" s="10" t="n">
        <x:f>IF(S286=0,0,U286/S286)</x:f>
        <x:v>0.7554934656056262</x:v>
      </x:c>
      <x:c r="X286" s="11" t="n">
        <x:f>IF(D286-G286&lt;=0,0,Q286/(D286-G286))</x:f>
        <x:v>130.34079102715464</x:v>
      </x:c>
      <x:c r="Y286" s="10" t="n">
        <x:f>IFERROR(U286/(XLOOKUP(A286,Lotes!$A$4:$A$8,Lotes!$D$4:$D$8,Premissas!$B$9)+Q286+R286),0)</x:f>
        <x:v>3.0898702461140055</x:v>
      </x:c>
      <x:c r="Z286" s="10" t="n">
        <x:f>IF(L286=0,Y286,Y286/MAX(1,L286/Premissas!$B$7))</x:f>
        <x:v>0.3660307830011976</x:v>
      </x:c>
      <x:c r="AA286" s="9" t="str">
        <x:f>IF(L286=0,"Venda imediata",IF(L286&lt;=60,"Baixo",IF(L286&lt;=120,"Médio","Alto")))</x:f>
        <x:v>Alto</x:v>
      </x:c>
      <x:c r="AB286" s="9" t="str">
        <x:f>IF(U286&lt;0,"Não fazer",IF(AA286="Alto","Risco seca",IF(Z286&gt;=0.03,"Bom giro","Margem ok")))</x:f>
        <x:v>Risco seca</x:v>
      </x:c>
    </x:row>
    <x:row r="287">
      <x:c r="A287" s="9" t="str">
        <x:v>Bezerras pequenas 4@</x:v>
      </x:c>
      <x:c r="B287" s="9" t="str">
        <x:v>Agressiva</x:v>
      </x:c>
      <x:c r="C287" s="9" t="str">
        <x:v>Conservador</x:v>
      </x:c>
      <x:c r="D287" s="9" t="n">
        <x:v>11</x:v>
      </x:c>
      <x:c r="E287" s="11" t="n">
        <x:f>Premissas!$B$6</x:f>
        <x:v>330</x:v>
      </x:c>
      <x:c r="F287" s="9" t="n">
        <x:f>XLOOKUP(A287,Lotes!$A$4:$A$8,Lotes!$B$4:$B$8,0)</x:f>
        <x:v>0</x:v>
      </x:c>
      <x:c r="G287" s="13" t="n">
        <x:f>XLOOKUP(A287,Lotes!$A$4:$A$8,Lotes!$C$4:$C$8,0)</x:f>
        <x:v>4</x:v>
      </x:c>
      <x:c r="H287" s="13" t="n">
        <x:f>G287*Premissas!$B$5/Premissas!$B$4</x:f>
        <x:v>109.09090909090908</x:v>
      </x:c>
      <x:c r="I287" s="13" t="n">
        <x:f>D287*Premissas!$B$5/Premissas!$B$4</x:f>
        <x:v>300</x:v>
      </x:c>
      <x:c r="J287" s="13" t="n">
        <x:f>MAX(0,I287-H287)</x:f>
        <x:v>190.90909090909093</x:v>
      </x:c>
      <x:c r="K287" s="13" t="n">
        <x:f>SUMIFS('Cenários de GMD'!$C$4:$C$19,'Cenários de GMD'!$A$4:$A$19,B287,'Cenários de GMD'!$B$4:$B$19,C287)</x:f>
        <x:v>0.7</x:v>
      </x:c>
      <x:c r="L287" s="13" t="n">
        <x:f>IF(J287=0,0,J287/K287)</x:f>
        <x:v>272.7272727272728</x:v>
      </x:c>
      <x:c r="M287" s="13" t="n">
        <x:f>((H287+I287)/2)*SUMIFS('Cenários de GMD'!$D$4:$D$19,'Cenários de GMD'!$A$4:$A$19,B287,'Cenários de GMD'!$B$4:$B$19,C287)</x:f>
        <x:v>0.20454545454545453</x:v>
      </x:c>
      <x:c r="N287" s="13" t="n">
        <x:f>((H287+I287)/2)*SUMIFS('Cenários de GMD'!$E$4:$E$19,'Cenários de GMD'!$A$4:$A$19,B287,'Cenários de GMD'!$B$4:$B$19,C287)</x:f>
        <x:v>1.4318181818181817</x:v>
      </x:c>
      <x:c r="O287" s="11" t="n">
        <x:f>M287*Insumos!$E$4+N287*Insumos!$E$5</x:f>
        <x:v>3.460772727272727</x:v>
      </x:c>
      <x:c r="P287" s="11" t="n">
        <x:f>O287*Premissas!$B$7</x:f>
        <x:v>103.82318181818181</x:v>
      </x:c>
      <x:c r="Q287" s="11" t="n">
        <x:f>O287*L287</x:f>
        <x:v>943.8471074380167</x:v>
      </x:c>
      <x:c r="R287" s="11" t="n">
        <x:f>Premissas!$B$7*Premissas!$B$8*L287</x:f>
        <x:v>0</x:v>
      </x:c>
      <x:c r="S287" s="11" t="n">
        <x:f>D287*E287</x:f>
        <x:v>3630</x:v>
      </x:c>
      <x:c r="T287" s="11" t="n">
        <x:f>S287*F287</x:f>
        <x:v>0</x:v>
      </x:c>
      <x:c r="U287" s="11" t="n">
        <x:f>S287-XLOOKUP(A287,Lotes!$A$4:$A$8,Lotes!$D$4:$D$8,Premissas!$B$9)-Q287-R287</x:f>
        <x:v>2686.152892561983</x:v>
      </x:c>
      <x:c r="V287" s="11" t="n">
        <x:f>U287*F287</x:f>
        <x:v>0</x:v>
      </x:c>
      <x:c r="W287" s="10" t="n">
        <x:f>IF(S287=0,0,U287/S287)</x:f>
        <x:v>0.739987022744348</x:v>
      </x:c>
      <x:c r="X287" s="11" t="n">
        <x:f>IF(D287-G287&lt;=0,0,Q287/(D287-G287))</x:f>
        <x:v>134.83530106257382</x:v>
      </x:c>
      <x:c r="Y287" s="10" t="n">
        <x:f>IFERROR(U287/(XLOOKUP(A287,Lotes!$A$4:$A$8,Lotes!$D$4:$D$8,Premissas!$B$9)+Q287+R287),0)</x:f>
        <x:v>2.8459618844976813</x:v>
      </x:c>
      <x:c r="Z287" s="10" t="n">
        <x:f>IF(L287=0,Y287,Y287/MAX(1,L287/Premissas!$B$7))</x:f>
        <x:v>0.31305580729474486</x:v>
      </x:c>
      <x:c r="AA287" s="9" t="str">
        <x:f>IF(L287=0,"Venda imediata",IF(L287&lt;=60,"Baixo",IF(L287&lt;=120,"Médio","Alto")))</x:f>
        <x:v>Alto</x:v>
      </x:c>
      <x:c r="AB287" s="9" t="str">
        <x:f>IF(U287&lt;0,"Não fazer",IF(AA287="Alto","Risco seca",IF(Z287&gt;=0.03,"Bom giro","Margem ok")))</x:f>
        <x:v>Risco seca</x:v>
      </x:c>
    </x:row>
    <x:row r="288">
      <x:c r="A288" s="9" t="str">
        <x:v>Bezerras pequenas 4@</x:v>
      </x:c>
      <x:c r="B288" s="9" t="str">
        <x:v>Agressiva</x:v>
      </x:c>
      <x:c r="C288" s="9" t="str">
        <x:v>Conservador</x:v>
      </x:c>
      <x:c r="D288" s="9" t="n">
        <x:v>12</x:v>
      </x:c>
      <x:c r="E288" s="11" t="n">
        <x:f>Premissas!$B$6</x:f>
        <x:v>330</x:v>
      </x:c>
      <x:c r="F288" s="9" t="n">
        <x:f>XLOOKUP(A288,Lotes!$A$4:$A$8,Lotes!$B$4:$B$8,0)</x:f>
        <x:v>0</x:v>
      </x:c>
      <x:c r="G288" s="13" t="n">
        <x:f>XLOOKUP(A288,Lotes!$A$4:$A$8,Lotes!$C$4:$C$8,0)</x:f>
        <x:v>4</x:v>
      </x:c>
      <x:c r="H288" s="13" t="n">
        <x:f>G288*Premissas!$B$5/Premissas!$B$4</x:f>
        <x:v>109.09090909090908</x:v>
      </x:c>
      <x:c r="I288" s="13" t="n">
        <x:f>D288*Premissas!$B$5/Premissas!$B$4</x:f>
        <x:v>327.27272727272725</x:v>
      </x:c>
      <x:c r="J288" s="13" t="n">
        <x:f>MAX(0,I288-H288)</x:f>
        <x:v>218.1818181818182</x:v>
      </x:c>
      <x:c r="K288" s="13" t="n">
        <x:f>SUMIFS('Cenários de GMD'!$C$4:$C$19,'Cenários de GMD'!$A$4:$A$19,B288,'Cenários de GMD'!$B$4:$B$19,C288)</x:f>
        <x:v>0.7</x:v>
      </x:c>
      <x:c r="L288" s="13" t="n">
        <x:f>IF(J288=0,0,J288/K288)</x:f>
        <x:v>311.6883116883117</x:v>
      </x:c>
      <x:c r="M288" s="13" t="n">
        <x:f>((H288+I288)/2)*SUMIFS('Cenários de GMD'!$D$4:$D$19,'Cenários de GMD'!$A$4:$A$19,B288,'Cenários de GMD'!$B$4:$B$19,C288)</x:f>
        <x:v>0.21818181818181817</x:v>
      </x:c>
      <x:c r="N288" s="13" t="n">
        <x:f>((H288+I288)/2)*SUMIFS('Cenários de GMD'!$E$4:$E$19,'Cenários de GMD'!$A$4:$A$19,B288,'Cenários de GMD'!$B$4:$B$19,C288)</x:f>
        <x:v>1.5272727272727271</x:v>
      </x:c>
      <x:c r="O288" s="11" t="n">
        <x:f>M288*Insumos!$E$4+N288*Insumos!$E$5</x:f>
        <x:v>3.6914909090909087</x:v>
      </x:c>
      <x:c r="P288" s="11" t="n">
        <x:f>O288*Premissas!$B$7</x:f>
        <x:v>110.74472727272726</x:v>
      </x:c>
      <x:c r="Q288" s="11" t="n">
        <x:f>O288*L288</x:f>
        <x:v>1150.5945690672963</x:v>
      </x:c>
      <x:c r="R288" s="11" t="n">
        <x:f>Premissas!$B$7*Premissas!$B$8*L288</x:f>
        <x:v>0</x:v>
      </x:c>
      <x:c r="S288" s="11" t="n">
        <x:f>D288*E288</x:f>
        <x:v>3960</x:v>
      </x:c>
      <x:c r="T288" s="11" t="n">
        <x:f>S288*F288</x:f>
        <x:v>0</x:v>
      </x:c>
      <x:c r="U288" s="11" t="n">
        <x:f>S288-XLOOKUP(A288,Lotes!$A$4:$A$8,Lotes!$D$4:$D$8,Premissas!$B$9)-Q288-R288</x:f>
        <x:v>2809.405430932704</x:v>
      </x:c>
      <x:c r="V288" s="11" t="n">
        <x:f>U288*F288</x:f>
        <x:v>0</x:v>
      </x:c>
      <x:c r="W288" s="10" t="n">
        <x:f>IF(S288=0,0,U288/S288)</x:f>
        <x:v>0.709445815892097</x:v>
      </x:c>
      <x:c r="X288" s="11" t="n">
        <x:f>IF(D288-G288&lt;=0,0,Q288/(D288-G288))</x:f>
        <x:v>143.82432113341204</x:v>
      </x:c>
      <x:c r="Y288" s="10" t="n">
        <x:f>IFERROR(U288/(XLOOKUP(A288,Lotes!$A$4:$A$8,Lotes!$D$4:$D$8,Premissas!$B$9)+Q288+R288),0)</x:f>
        <x:v>2.441698845502187</x:v>
      </x:c>
      <x:c r="Z288" s="10" t="n">
        <x:f>IF(L288=0,Y288,Y288/MAX(1,L288/Premissas!$B$7))</x:f>
        <x:v>0.23501351387958547</x:v>
      </x:c>
      <x:c r="AA288" s="9" t="str">
        <x:f>IF(L288=0,"Venda imediata",IF(L288&lt;=60,"Baixo",IF(L288&lt;=120,"Médio","Alto")))</x:f>
        <x:v>Alto</x:v>
      </x:c>
      <x:c r="AB288" s="9" t="str">
        <x:f>IF(U288&lt;0,"Não fazer",IF(AA288="Alto","Risco seca",IF(Z288&gt;=0.03,"Bom giro","Margem ok")))</x:f>
        <x:v>Risco seca</x:v>
      </x:c>
    </x:row>
    <x:row r="289">
      <x:c r="A289" s="9" t="str">
        <x:v>Bezerras pequenas 4@</x:v>
      </x:c>
      <x:c r="B289" s="9" t="str">
        <x:v>Agressiva</x:v>
      </x:c>
      <x:c r="C289" s="9" t="str">
        <x:v>Base</x:v>
      </x:c>
      <x:c r="D289" s="9" t="n">
        <x:v>8.5</x:v>
      </x:c>
      <x:c r="E289" s="11" t="n">
        <x:f>Premissas!$B$6</x:f>
        <x:v>330</x:v>
      </x:c>
      <x:c r="F289" s="9" t="n">
        <x:f>XLOOKUP(A289,Lotes!$A$4:$A$8,Lotes!$B$4:$B$8,0)</x:f>
        <x:v>0</x:v>
      </x:c>
      <x:c r="G289" s="13" t="n">
        <x:f>XLOOKUP(A289,Lotes!$A$4:$A$8,Lotes!$C$4:$C$8,0)</x:f>
        <x:v>4</x:v>
      </x:c>
      <x:c r="H289" s="13" t="n">
        <x:f>G289*Premissas!$B$5/Premissas!$B$4</x:f>
        <x:v>109.09090909090908</x:v>
      </x:c>
      <x:c r="I289" s="13" t="n">
        <x:f>D289*Premissas!$B$5/Premissas!$B$4</x:f>
        <x:v>231.8181818181818</x:v>
      </x:c>
      <x:c r="J289" s="13" t="n">
        <x:f>MAX(0,I289-H289)</x:f>
        <x:v>122.72727272727273</x:v>
      </x:c>
      <x:c r="K289" s="13" t="n">
        <x:f>SUMIFS('Cenários de GMD'!$C$4:$C$19,'Cenários de GMD'!$A$4:$A$19,B289,'Cenários de GMD'!$B$4:$B$19,C289)</x:f>
        <x:v>0.85</x:v>
      </x:c>
      <x:c r="L289" s="13" t="n">
        <x:f>IF(J289=0,0,J289/K289)</x:f>
        <x:v>144.38502673796793</x:v>
      </x:c>
      <x:c r="M289" s="13" t="n">
        <x:f>((H289+I289)/2)*SUMIFS('Cenários de GMD'!$D$4:$D$19,'Cenários de GMD'!$A$4:$A$19,B289,'Cenários de GMD'!$B$4:$B$19,C289)</x:f>
        <x:v>0.17045454545454544</x:v>
      </x:c>
      <x:c r="N289" s="13" t="n">
        <x:f>((H289+I289)/2)*SUMIFS('Cenários de GMD'!$E$4:$E$19,'Cenários de GMD'!$A$4:$A$19,B289,'Cenários de GMD'!$B$4:$B$19,C289)</x:f>
        <x:v>1.1931818181818181</x:v>
      </x:c>
      <x:c r="O289" s="11" t="n">
        <x:f>M289*Insumos!$E$4+N289*Insumos!$E$5</x:f>
        <x:v>2.8839772727272726</x:v>
      </x:c>
      <x:c r="P289" s="11" t="n">
        <x:f>O289*Premissas!$B$7</x:f>
        <x:v>86.51931818181818</x:v>
      </x:c>
      <x:c r="Q289" s="11" t="n">
        <x:f>O289*L289</x:f>
        <x:v>416.4031356344191</x:v>
      </x:c>
      <x:c r="R289" s="11" t="n">
        <x:f>Premissas!$B$7*Premissas!$B$8*L289</x:f>
        <x:v>0</x:v>
      </x:c>
      <x:c r="S289" s="11" t="n">
        <x:f>D289*E289</x:f>
        <x:v>2805</x:v>
      </x:c>
      <x:c r="T289" s="11" t="n">
        <x:f>S289*F289</x:f>
        <x:v>0</x:v>
      </x:c>
      <x:c r="U289" s="11" t="n">
        <x:f>S289-XLOOKUP(A289,Lotes!$A$4:$A$8,Lotes!$D$4:$D$8,Premissas!$B$9)-Q289-R289</x:f>
        <x:v>2388.596864365581</x:v>
      </x:c>
      <x:c r="V289" s="11" t="n">
        <x:f>U289*F289</x:f>
        <x:v>0</x:v>
      </x:c>
      <x:c r="W289" s="10" t="n">
        <x:f>IF(S289=0,0,U289/S289)</x:f>
        <x:v>0.8515496842658042</x:v>
      </x:c>
      <x:c r="X289" s="11" t="n">
        <x:f>IF(D289-G289&lt;=0,0,Q289/(D289-G289))</x:f>
        <x:v>92.53403014098201</x:v>
      </x:c>
      <x:c r="Y289" s="10" t="n">
        <x:f>IFERROR(U289/(XLOOKUP(A289,Lotes!$A$4:$A$8,Lotes!$D$4:$D$8,Premissas!$B$9)+Q289+R289),0)</x:f>
        <x:v>5.736260512847455</x:v>
      </x:c>
      <x:c r="Z289" s="10" t="n">
        <x:f>IF(L289=0,Y289,Y289/MAX(1,L289/Premissas!$B$7))</x:f>
        <x:v>1.1918674621138599</x:v>
      </x:c>
      <x:c r="AA289" s="9" t="str">
        <x:f>IF(L289=0,"Venda imediata",IF(L289&lt;=60,"Baixo",IF(L289&lt;=120,"Médio","Alto")))</x:f>
        <x:v>Alto</x:v>
      </x:c>
      <x:c r="AB289" s="9" t="str">
        <x:f>IF(U289&lt;0,"Não fazer",IF(AA289="Alto","Risco seca",IF(Z289&gt;=0.03,"Bom giro","Margem ok")))</x:f>
        <x:v>Risco seca</x:v>
      </x:c>
    </x:row>
    <x:row r="290">
      <x:c r="A290" s="9" t="str">
        <x:v>Bezerras pequenas 4@</x:v>
      </x:c>
      <x:c r="B290" s="9" t="str">
        <x:v>Agressiva</x:v>
      </x:c>
      <x:c r="C290" s="9" t="str">
        <x:v>Base</x:v>
      </x:c>
      <x:c r="D290" s="9" t="n">
        <x:v>9</x:v>
      </x:c>
      <x:c r="E290" s="11" t="n">
        <x:f>Premissas!$B$6</x:f>
        <x:v>330</x:v>
      </x:c>
      <x:c r="F290" s="9" t="n">
        <x:f>XLOOKUP(A290,Lotes!$A$4:$A$8,Lotes!$B$4:$B$8,0)</x:f>
        <x:v>0</x:v>
      </x:c>
      <x:c r="G290" s="13" t="n">
        <x:f>XLOOKUP(A290,Lotes!$A$4:$A$8,Lotes!$C$4:$C$8,0)</x:f>
        <x:v>4</x:v>
      </x:c>
      <x:c r="H290" s="13" t="n">
        <x:f>G290*Premissas!$B$5/Premissas!$B$4</x:f>
        <x:v>109.09090909090908</x:v>
      </x:c>
      <x:c r="I290" s="13" t="n">
        <x:f>D290*Premissas!$B$5/Premissas!$B$4</x:f>
        <x:v>245.45454545454544</x:v>
      </x:c>
      <x:c r="J290" s="13" t="n">
        <x:f>MAX(0,I290-H290)</x:f>
        <x:v>136.36363636363637</x:v>
      </x:c>
      <x:c r="K290" s="13" t="n">
        <x:f>SUMIFS('Cenários de GMD'!$C$4:$C$19,'Cenários de GMD'!$A$4:$A$19,B290,'Cenários de GMD'!$B$4:$B$19,C290)</x:f>
        <x:v>0.85</x:v>
      </x:c>
      <x:c r="L290" s="13" t="n">
        <x:f>IF(J290=0,0,J290/K290)</x:f>
        <x:v>160.42780748663102</x:v>
      </x:c>
      <x:c r="M290" s="13" t="n">
        <x:f>((H290+I290)/2)*SUMIFS('Cenários de GMD'!$D$4:$D$19,'Cenários de GMD'!$A$4:$A$19,B290,'Cenários de GMD'!$B$4:$B$19,C290)</x:f>
        <x:v>0.17727272727272725</x:v>
      </x:c>
      <x:c r="N290" s="13" t="n">
        <x:f>((H290+I290)/2)*SUMIFS('Cenários de GMD'!$E$4:$E$19,'Cenários de GMD'!$A$4:$A$19,B290,'Cenários de GMD'!$B$4:$B$19,C290)</x:f>
        <x:v>1.2409090909090907</x:v>
      </x:c>
      <x:c r="O290" s="11" t="n">
        <x:f>M290*Insumos!$E$4+N290*Insumos!$E$5</x:f>
        <x:v>2.9993363636363632</x:v>
      </x:c>
      <x:c r="P290" s="11" t="n">
        <x:f>O290*Premissas!$B$7</x:f>
        <x:v>89.9800909090909</x:v>
      </x:c>
      <x:c r="Q290" s="11" t="n">
        <x:f>O290*L290</x:f>
        <x:v>481.1769567331064</x:v>
      </x:c>
      <x:c r="R290" s="11" t="n">
        <x:f>Premissas!$B$7*Premissas!$B$8*L290</x:f>
        <x:v>0</x:v>
      </x:c>
      <x:c r="S290" s="11" t="n">
        <x:f>D290*E290</x:f>
        <x:v>2970</x:v>
      </x:c>
      <x:c r="T290" s="11" t="n">
        <x:f>S290*F290</x:f>
        <x:v>0</x:v>
      </x:c>
      <x:c r="U290" s="11" t="n">
        <x:f>S290-XLOOKUP(A290,Lotes!$A$4:$A$8,Lotes!$D$4:$D$8,Premissas!$B$9)-Q290-R290</x:f>
        <x:v>2488.8230432668934</x:v>
      </x:c>
      <x:c r="V290" s="11" t="n">
        <x:f>U290*F290</x:f>
        <x:v>0</x:v>
      </x:c>
      <x:c r="W290" s="10" t="n">
        <x:f>IF(S290=0,0,U290/S290)</x:f>
        <x:v>0.8379875566555196</x:v>
      </x:c>
      <x:c r="X290" s="11" t="n">
        <x:f>IF(D290-G290&lt;=0,0,Q290/(D290-G290))</x:f>
        <x:v>96.23539134662128</x:v>
      </x:c>
      <x:c r="Y290" s="10" t="n">
        <x:f>IFERROR(U290/(XLOOKUP(A290,Lotes!$A$4:$A$8,Lotes!$D$4:$D$8,Premissas!$B$9)+Q290+R290),0)</x:f>
        <x:v>5.172365402043483</x:v>
      </x:c>
      <x:c r="Z290" s="10" t="n">
        <x:f>IF(L290=0,Y290,Y290/MAX(1,L290/Premissas!$B$7))</x:f>
        <x:v>0.9672323301821313</x:v>
      </x:c>
      <x:c r="AA290" s="9" t="str">
        <x:f>IF(L290=0,"Venda imediata",IF(L290&lt;=60,"Baixo",IF(L290&lt;=120,"Médio","Alto")))</x:f>
        <x:v>Alto</x:v>
      </x:c>
      <x:c r="AB290" s="9" t="str">
        <x:f>IF(U290&lt;0,"Não fazer",IF(AA290="Alto","Risco seca",IF(Z290&gt;=0.03,"Bom giro","Margem ok")))</x:f>
        <x:v>Risco seca</x:v>
      </x:c>
    </x:row>
    <x:row r="291">
      <x:c r="A291" s="9" t="str">
        <x:v>Bezerras pequenas 4@</x:v>
      </x:c>
      <x:c r="B291" s="9" t="str">
        <x:v>Agressiva</x:v>
      </x:c>
      <x:c r="C291" s="9" t="str">
        <x:v>Base</x:v>
      </x:c>
      <x:c r="D291" s="9" t="n">
        <x:v>10.5</x:v>
      </x:c>
      <x:c r="E291" s="11" t="n">
        <x:f>Premissas!$B$6</x:f>
        <x:v>330</x:v>
      </x:c>
      <x:c r="F291" s="9" t="n">
        <x:f>XLOOKUP(A291,Lotes!$A$4:$A$8,Lotes!$B$4:$B$8,0)</x:f>
        <x:v>0</x:v>
      </x:c>
      <x:c r="G291" s="13" t="n">
        <x:f>XLOOKUP(A291,Lotes!$A$4:$A$8,Lotes!$C$4:$C$8,0)</x:f>
        <x:v>4</x:v>
      </x:c>
      <x:c r="H291" s="13" t="n">
        <x:f>G291*Premissas!$B$5/Premissas!$B$4</x:f>
        <x:v>109.09090909090908</x:v>
      </x:c>
      <x:c r="I291" s="13" t="n">
        <x:f>D291*Premissas!$B$5/Premissas!$B$4</x:f>
        <x:v>286.3636363636363</x:v>
      </x:c>
      <x:c r="J291" s="13" t="n">
        <x:f>MAX(0,I291-H291)</x:f>
        <x:v>177.27272727272725</x:v>
      </x:c>
      <x:c r="K291" s="13" t="n">
        <x:f>SUMIFS('Cenários de GMD'!$C$4:$C$19,'Cenários de GMD'!$A$4:$A$19,B291,'Cenários de GMD'!$B$4:$B$19,C291)</x:f>
        <x:v>0.85</x:v>
      </x:c>
      <x:c r="L291" s="13" t="n">
        <x:f>IF(J291=0,0,J291/K291)</x:f>
        <x:v>208.5561497326203</x:v>
      </x:c>
      <x:c r="M291" s="13" t="n">
        <x:f>((H291+I291)/2)*SUMIFS('Cenários de GMD'!$D$4:$D$19,'Cenários de GMD'!$A$4:$A$19,B291,'Cenários de GMD'!$B$4:$B$19,C291)</x:f>
        <x:v>0.1977272727272727</x:v>
      </x:c>
      <x:c r="N291" s="13" t="n">
        <x:f>((H291+I291)/2)*SUMIFS('Cenários de GMD'!$E$4:$E$19,'Cenários de GMD'!$A$4:$A$19,B291,'Cenários de GMD'!$B$4:$B$19,C291)</x:f>
        <x:v>1.3840909090909088</x:v>
      </x:c>
      <x:c r="O291" s="11" t="n">
        <x:f>M291*Insumos!$E$4+N291*Insumos!$E$5</x:f>
        <x:v>3.3454136363636358</x:v>
      </x:c>
      <x:c r="P291" s="11" t="n">
        <x:f>O291*Premissas!$B$7</x:f>
        <x:v>100.36240909090907</x:v>
      </x:c>
      <x:c r="Q291" s="11" t="n">
        <x:f>O291*L291</x:f>
        <x:v>697.7065872630042</x:v>
      </x:c>
      <x:c r="R291" s="11" t="n">
        <x:f>Premissas!$B$7*Premissas!$B$8*L291</x:f>
        <x:v>0</x:v>
      </x:c>
      <x:c r="S291" s="11" t="n">
        <x:f>D291*E291</x:f>
        <x:v>3465</x:v>
      </x:c>
      <x:c r="T291" s="11" t="n">
        <x:f>S291*F291</x:f>
        <x:v>0</x:v>
      </x:c>
      <x:c r="U291" s="11" t="n">
        <x:f>S291-XLOOKUP(A291,Lotes!$A$4:$A$8,Lotes!$D$4:$D$8,Premissas!$B$9)-Q291-R291</x:f>
        <x:v>2767.293412736996</x:v>
      </x:c>
      <x:c r="V291" s="11" t="n">
        <x:f>U291*F291</x:f>
        <x:v>0</x:v>
      </x:c>
      <x:c r="W291" s="10" t="n">
        <x:f>IF(S291=0,0,U291/S291)</x:f>
        <x:v>0.7986416775575745</x:v>
      </x:c>
      <x:c r="X291" s="11" t="n">
        <x:f>IF(D291-G291&lt;=0,0,Q291/(D291-G291))</x:f>
        <x:v>107.3394749635391</x:v>
      </x:c>
      <x:c r="Y291" s="10" t="n">
        <x:f>IFERROR(U291/(XLOOKUP(A291,Lotes!$A$4:$A$8,Lotes!$D$4:$D$8,Premissas!$B$9)+Q291+R291),0)</x:f>
        <x:v>3.9662710131384356</x:v>
      </x:c>
      <x:c r="Z291" s="10" t="n">
        <x:f>IF(L291=0,Y291,Y291/MAX(1,L291/Premissas!$B$7))</x:f>
        <x:v>0.570532830351452</x:v>
      </x:c>
      <x:c r="AA291" s="9" t="str">
        <x:f>IF(L291=0,"Venda imediata",IF(L291&lt;=60,"Baixo",IF(L291&lt;=120,"Médio","Alto")))</x:f>
        <x:v>Alto</x:v>
      </x:c>
      <x:c r="AB291" s="9" t="str">
        <x:f>IF(U291&lt;0,"Não fazer",IF(AA291="Alto","Risco seca",IF(Z291&gt;=0.03,"Bom giro","Margem ok")))</x:f>
        <x:v>Risco seca</x:v>
      </x:c>
    </x:row>
    <x:row r="292">
      <x:c r="A292" s="9" t="str">
        <x:v>Bezerras pequenas 4@</x:v>
      </x:c>
      <x:c r="B292" s="9" t="str">
        <x:v>Agressiva</x:v>
      </x:c>
      <x:c r="C292" s="9" t="str">
        <x:v>Base</x:v>
      </x:c>
      <x:c r="D292" s="9" t="n">
        <x:v>11</x:v>
      </x:c>
      <x:c r="E292" s="11" t="n">
        <x:f>Premissas!$B$6</x:f>
        <x:v>330</x:v>
      </x:c>
      <x:c r="F292" s="9" t="n">
        <x:f>XLOOKUP(A292,Lotes!$A$4:$A$8,Lotes!$B$4:$B$8,0)</x:f>
        <x:v>0</x:v>
      </x:c>
      <x:c r="G292" s="13" t="n">
        <x:f>XLOOKUP(A292,Lotes!$A$4:$A$8,Lotes!$C$4:$C$8,0)</x:f>
        <x:v>4</x:v>
      </x:c>
      <x:c r="H292" s="13" t="n">
        <x:f>G292*Premissas!$B$5/Premissas!$B$4</x:f>
        <x:v>109.09090909090908</x:v>
      </x:c>
      <x:c r="I292" s="13" t="n">
        <x:f>D292*Premissas!$B$5/Premissas!$B$4</x:f>
        <x:v>300</x:v>
      </x:c>
      <x:c r="J292" s="13" t="n">
        <x:f>MAX(0,I292-H292)</x:f>
        <x:v>190.90909090909093</x:v>
      </x:c>
      <x:c r="K292" s="13" t="n">
        <x:f>SUMIFS('Cenários de GMD'!$C$4:$C$19,'Cenários de GMD'!$A$4:$A$19,B292,'Cenários de GMD'!$B$4:$B$19,C292)</x:f>
        <x:v>0.85</x:v>
      </x:c>
      <x:c r="L292" s="13" t="n">
        <x:f>IF(J292=0,0,J292/K292)</x:f>
        <x:v>224.59893048128345</x:v>
      </x:c>
      <x:c r="M292" s="13" t="n">
        <x:f>((H292+I292)/2)*SUMIFS('Cenários de GMD'!$D$4:$D$19,'Cenários de GMD'!$A$4:$A$19,B292,'Cenários de GMD'!$B$4:$B$19,C292)</x:f>
        <x:v>0.20454545454545453</x:v>
      </x:c>
      <x:c r="N292" s="13" t="n">
        <x:f>((H292+I292)/2)*SUMIFS('Cenários de GMD'!$E$4:$E$19,'Cenários de GMD'!$A$4:$A$19,B292,'Cenários de GMD'!$B$4:$B$19,C292)</x:f>
        <x:v>1.4318181818181817</x:v>
      </x:c>
      <x:c r="O292" s="11" t="n">
        <x:f>M292*Insumos!$E$4+N292*Insumos!$E$5</x:f>
        <x:v>3.460772727272727</x:v>
      </x:c>
      <x:c r="P292" s="11" t="n">
        <x:f>O292*Premissas!$B$7</x:f>
        <x:v>103.82318181818181</x:v>
      </x:c>
      <x:c r="Q292" s="11" t="n">
        <x:f>O292*L292</x:f>
        <x:v>777.2858531842489</x:v>
      </x:c>
      <x:c r="R292" s="11" t="n">
        <x:f>Premissas!$B$7*Premissas!$B$8*L292</x:f>
        <x:v>0</x:v>
      </x:c>
      <x:c r="S292" s="11" t="n">
        <x:f>D292*E292</x:f>
        <x:v>3630</x:v>
      </x:c>
      <x:c r="T292" s="11" t="n">
        <x:f>S292*F292</x:f>
        <x:v>0</x:v>
      </x:c>
      <x:c r="U292" s="11" t="n">
        <x:f>S292-XLOOKUP(A292,Lotes!$A$4:$A$8,Lotes!$D$4:$D$8,Premissas!$B$9)-Q292-R292</x:f>
        <x:v>2852.714146815751</x:v>
      </x:c>
      <x:c r="V292" s="11" t="n">
        <x:f>U292*F292</x:f>
        <x:v>0</x:v>
      </x:c>
      <x:c r="W292" s="10" t="n">
        <x:f>IF(S292=0,0,U292/S292)</x:f>
        <x:v>0.7858716657894631</x:v>
      </x:c>
      <x:c r="X292" s="11" t="n">
        <x:f>IF(D292-G292&lt;=0,0,Q292/(D292-G292))</x:f>
        <x:v>111.04083616917842</x:v>
      </x:c>
      <x:c r="Y292" s="10" t="n">
        <x:f>IFERROR(U292/(XLOOKUP(A292,Lotes!$A$4:$A$8,Lotes!$D$4:$D$8,Premissas!$B$9)+Q292+R292),0)</x:f>
        <x:v>3.670096574032899</x:v>
      </x:c>
      <x:c r="Z292" s="10" t="n">
        <x:f>IF(L292=0,Y292,Y292/MAX(1,L292/Premissas!$B$7))</x:f>
        <x:v>0.49022004238868006</x:v>
      </x:c>
      <x:c r="AA292" s="9" t="str">
        <x:f>IF(L292=0,"Venda imediata",IF(L292&lt;=60,"Baixo",IF(L292&lt;=120,"Médio","Alto")))</x:f>
        <x:v>Alto</x:v>
      </x:c>
      <x:c r="AB292" s="9" t="str">
        <x:f>IF(U292&lt;0,"Não fazer",IF(AA292="Alto","Risco seca",IF(Z292&gt;=0.03,"Bom giro","Margem ok")))</x:f>
        <x:v>Risco seca</x:v>
      </x:c>
    </x:row>
    <x:row r="293">
      <x:c r="A293" s="9" t="str">
        <x:v>Bezerras pequenas 4@</x:v>
      </x:c>
      <x:c r="B293" s="9" t="str">
        <x:v>Agressiva</x:v>
      </x:c>
      <x:c r="C293" s="9" t="str">
        <x:v>Base</x:v>
      </x:c>
      <x:c r="D293" s="9" t="n">
        <x:v>12</x:v>
      </x:c>
      <x:c r="E293" s="11" t="n">
        <x:f>Premissas!$B$6</x:f>
        <x:v>330</x:v>
      </x:c>
      <x:c r="F293" s="9" t="n">
        <x:f>XLOOKUP(A293,Lotes!$A$4:$A$8,Lotes!$B$4:$B$8,0)</x:f>
        <x:v>0</x:v>
      </x:c>
      <x:c r="G293" s="13" t="n">
        <x:f>XLOOKUP(A293,Lotes!$A$4:$A$8,Lotes!$C$4:$C$8,0)</x:f>
        <x:v>4</x:v>
      </x:c>
      <x:c r="H293" s="13" t="n">
        <x:f>G293*Premissas!$B$5/Premissas!$B$4</x:f>
        <x:v>109.09090909090908</x:v>
      </x:c>
      <x:c r="I293" s="13" t="n">
        <x:f>D293*Premissas!$B$5/Premissas!$B$4</x:f>
        <x:v>327.27272727272725</x:v>
      </x:c>
      <x:c r="J293" s="13" t="n">
        <x:f>MAX(0,I293-H293)</x:f>
        <x:v>218.1818181818182</x:v>
      </x:c>
      <x:c r="K293" s="13" t="n">
        <x:f>SUMIFS('Cenários de GMD'!$C$4:$C$19,'Cenários de GMD'!$A$4:$A$19,B293,'Cenários de GMD'!$B$4:$B$19,C293)</x:f>
        <x:v>0.85</x:v>
      </x:c>
      <x:c r="L293" s="13" t="n">
        <x:f>IF(J293=0,0,J293/K293)</x:f>
        <x:v>256.6844919786096</x:v>
      </x:c>
      <x:c r="M293" s="13" t="n">
        <x:f>((H293+I293)/2)*SUMIFS('Cenários de GMD'!$D$4:$D$19,'Cenários de GMD'!$A$4:$A$19,B293,'Cenários de GMD'!$B$4:$B$19,C293)</x:f>
        <x:v>0.21818181818181817</x:v>
      </x:c>
      <x:c r="N293" s="13" t="n">
        <x:f>((H293+I293)/2)*SUMIFS('Cenários de GMD'!$E$4:$E$19,'Cenários de GMD'!$A$4:$A$19,B293,'Cenários de GMD'!$B$4:$B$19,C293)</x:f>
        <x:v>1.5272727272727271</x:v>
      </x:c>
      <x:c r="O293" s="11" t="n">
        <x:f>M293*Insumos!$E$4+N293*Insumos!$E$5</x:f>
        <x:v>3.6914909090909087</x:v>
      </x:c>
      <x:c r="P293" s="11" t="n">
        <x:f>O293*Premissas!$B$7</x:f>
        <x:v>110.74472727272726</x:v>
      </x:c>
      <x:c r="Q293" s="11" t="n">
        <x:f>O293*L293</x:f>
        <x:v>947.5484686436557</x:v>
      </x:c>
      <x:c r="R293" s="11" t="n">
        <x:f>Premissas!$B$7*Premissas!$B$8*L293</x:f>
        <x:v>0</x:v>
      </x:c>
      <x:c r="S293" s="11" t="n">
        <x:f>D293*E293</x:f>
        <x:v>3960</x:v>
      </x:c>
      <x:c r="T293" s="11" t="n">
        <x:f>S293*F293</x:f>
        <x:v>0</x:v>
      </x:c>
      <x:c r="U293" s="11" t="n">
        <x:f>S293-XLOOKUP(A293,Lotes!$A$4:$A$8,Lotes!$D$4:$D$8,Premissas!$B$9)-Q293-R293</x:f>
        <x:v>3012.4515313563443</x:v>
      </x:c>
      <x:c r="V293" s="11" t="n">
        <x:f>U293*F293</x:f>
        <x:v>0</x:v>
      </x:c>
      <x:c r="W293" s="10" t="n">
        <x:f>IF(S293=0,0,U293/S293)</x:f>
        <x:v>0.7607200836758445</x:v>
      </x:c>
      <x:c r="X293" s="11" t="n">
        <x:f>IF(D293-G293&lt;=0,0,Q293/(D293-G293))</x:f>
        <x:v>118.44355858045697</x:v>
      </x:c>
      <x:c r="Y293" s="10" t="n">
        <x:f>IFERROR(U293/(XLOOKUP(A293,Lotes!$A$4:$A$8,Lotes!$D$4:$D$8,Premissas!$B$9)+Q293+R293),0)</x:f>
        <x:v>3.1792057409669416</x:v>
      </x:c>
      <x:c r="Z293" s="10" t="n">
        <x:f>IF(L293=0,Y293,Y293/MAX(1,L293/Premissas!$B$7))</x:f>
        <x:v>0.3715696709755113</x:v>
      </x:c>
      <x:c r="AA293" s="9" t="str">
        <x:f>IF(L293=0,"Venda imediata",IF(L293&lt;=60,"Baixo",IF(L293&lt;=120,"Médio","Alto")))</x:f>
        <x:v>Alto</x:v>
      </x:c>
      <x:c r="AB293" s="9" t="str">
        <x:f>IF(U293&lt;0,"Não fazer",IF(AA293="Alto","Risco seca",IF(Z293&gt;=0.03,"Bom giro","Margem ok")))</x:f>
        <x:v>Risco seca</x:v>
      </x:c>
    </x:row>
    <x:row r="294">
      <x:c r="A294" s="9" t="str">
        <x:v>Bezerras pequenas 4@</x:v>
      </x:c>
      <x:c r="B294" s="9" t="str">
        <x:v>Agressiva</x:v>
      </x:c>
      <x:c r="C294" s="9" t="str">
        <x:v>Bom</x:v>
      </x:c>
      <x:c r="D294" s="9" t="n">
        <x:v>8.5</x:v>
      </x:c>
      <x:c r="E294" s="11" t="n">
        <x:f>Premissas!$B$6</x:f>
        <x:v>330</x:v>
      </x:c>
      <x:c r="F294" s="9" t="n">
        <x:f>XLOOKUP(A294,Lotes!$A$4:$A$8,Lotes!$B$4:$B$8,0)</x:f>
        <x:v>0</x:v>
      </x:c>
      <x:c r="G294" s="13" t="n">
        <x:f>XLOOKUP(A294,Lotes!$A$4:$A$8,Lotes!$C$4:$C$8,0)</x:f>
        <x:v>4</x:v>
      </x:c>
      <x:c r="H294" s="13" t="n">
        <x:f>G294*Premissas!$B$5/Premissas!$B$4</x:f>
        <x:v>109.09090909090908</x:v>
      </x:c>
      <x:c r="I294" s="13" t="n">
        <x:f>D294*Premissas!$B$5/Premissas!$B$4</x:f>
        <x:v>231.8181818181818</x:v>
      </x:c>
      <x:c r="J294" s="13" t="n">
        <x:f>MAX(0,I294-H294)</x:f>
        <x:v>122.72727272727273</x:v>
      </x:c>
      <x:c r="K294" s="13" t="n">
        <x:f>SUMIFS('Cenários de GMD'!$C$4:$C$19,'Cenários de GMD'!$A$4:$A$19,B294,'Cenários de GMD'!$B$4:$B$19,C294)</x:f>
        <x:v>1</x:v>
      </x:c>
      <x:c r="L294" s="13" t="n">
        <x:f>IF(J294=0,0,J294/K294)</x:f>
        <x:v>122.72727272727273</x:v>
      </x:c>
      <x:c r="M294" s="13" t="n">
        <x:f>((H294+I294)/2)*SUMIFS('Cenários de GMD'!$D$4:$D$19,'Cenários de GMD'!$A$4:$A$19,B294,'Cenários de GMD'!$B$4:$B$19,C294)</x:f>
        <x:v>0.17045454545454544</x:v>
      </x:c>
      <x:c r="N294" s="13" t="n">
        <x:f>((H294+I294)/2)*SUMIFS('Cenários de GMD'!$E$4:$E$19,'Cenários de GMD'!$A$4:$A$19,B294,'Cenários de GMD'!$B$4:$B$19,C294)</x:f>
        <x:v>1.1931818181818181</x:v>
      </x:c>
      <x:c r="O294" s="11" t="n">
        <x:f>M294*Insumos!$E$4+N294*Insumos!$E$5</x:f>
        <x:v>2.8839772727272726</x:v>
      </x:c>
      <x:c r="P294" s="11" t="n">
        <x:f>O294*Premissas!$B$7</x:f>
        <x:v>86.51931818181818</x:v>
      </x:c>
      <x:c r="Q294" s="11" t="n">
        <x:f>O294*L294</x:f>
        <x:v>353.9426652892562</x:v>
      </x:c>
      <x:c r="R294" s="11" t="n">
        <x:f>Premissas!$B$7*Premissas!$B$8*L294</x:f>
        <x:v>0</x:v>
      </x:c>
      <x:c r="S294" s="11" t="n">
        <x:f>D294*E294</x:f>
        <x:v>2805</x:v>
      </x:c>
      <x:c r="T294" s="11" t="n">
        <x:f>S294*F294</x:f>
        <x:v>0</x:v>
      </x:c>
      <x:c r="U294" s="11" t="n">
        <x:f>S294-XLOOKUP(A294,Lotes!$A$4:$A$8,Lotes!$D$4:$D$8,Premissas!$B$9)-Q294-R294</x:f>
        <x:v>2451.057334710744</x:v>
      </x:c>
      <x:c r="V294" s="11" t="n">
        <x:f>U294*F294</x:f>
        <x:v>0</x:v>
      </x:c>
      <x:c r="W294" s="10" t="n">
        <x:f>IF(S294=0,0,U294/S294)</x:f>
        <x:v>0.8738172316259336</x:v>
      </x:c>
      <x:c r="X294" s="11" t="n">
        <x:f>IF(D294-G294&lt;=0,0,Q294/(D294-G294))</x:f>
        <x:v>78.65392561983471</x:v>
      </x:c>
      <x:c r="Y294" s="10" t="n">
        <x:f>IFERROR(U294/(XLOOKUP(A294,Lotes!$A$4:$A$8,Lotes!$D$4:$D$8,Premissas!$B$9)+Q294+R294),0)</x:f>
        <x:v>6.925012368055829</x:v>
      </x:c>
      <x:c r="Z294" s="10" t="n">
        <x:f>IF(L294=0,Y294,Y294/MAX(1,L294/Premissas!$B$7))</x:f>
        <x:v>1.6927808010803138</x:v>
      </x:c>
      <x:c r="AA294" s="9" t="str">
        <x:f>IF(L294=0,"Venda imediata",IF(L294&lt;=60,"Baixo",IF(L294&lt;=120,"Médio","Alto")))</x:f>
        <x:v>Alto</x:v>
      </x:c>
      <x:c r="AB294" s="9" t="str">
        <x:f>IF(U294&lt;0,"Não fazer",IF(AA294="Alto","Risco seca",IF(Z294&gt;=0.03,"Bom giro","Margem ok")))</x:f>
        <x:v>Risco seca</x:v>
      </x:c>
    </x:row>
    <x:row r="295">
      <x:c r="A295" s="9" t="str">
        <x:v>Bezerras pequenas 4@</x:v>
      </x:c>
      <x:c r="B295" s="9" t="str">
        <x:v>Agressiva</x:v>
      </x:c>
      <x:c r="C295" s="9" t="str">
        <x:v>Bom</x:v>
      </x:c>
      <x:c r="D295" s="9" t="n">
        <x:v>9</x:v>
      </x:c>
      <x:c r="E295" s="11" t="n">
        <x:f>Premissas!$B$6</x:f>
        <x:v>330</x:v>
      </x:c>
      <x:c r="F295" s="9" t="n">
        <x:f>XLOOKUP(A295,Lotes!$A$4:$A$8,Lotes!$B$4:$B$8,0)</x:f>
        <x:v>0</x:v>
      </x:c>
      <x:c r="G295" s="13" t="n">
        <x:f>XLOOKUP(A295,Lotes!$A$4:$A$8,Lotes!$C$4:$C$8,0)</x:f>
        <x:v>4</x:v>
      </x:c>
      <x:c r="H295" s="13" t="n">
        <x:f>G295*Premissas!$B$5/Premissas!$B$4</x:f>
        <x:v>109.09090909090908</x:v>
      </x:c>
      <x:c r="I295" s="13" t="n">
        <x:f>D295*Premissas!$B$5/Premissas!$B$4</x:f>
        <x:v>245.45454545454544</x:v>
      </x:c>
      <x:c r="J295" s="13" t="n">
        <x:f>MAX(0,I295-H295)</x:f>
        <x:v>136.36363636363637</x:v>
      </x:c>
      <x:c r="K295" s="13" t="n">
        <x:f>SUMIFS('Cenários de GMD'!$C$4:$C$19,'Cenários de GMD'!$A$4:$A$19,B295,'Cenários de GMD'!$B$4:$B$19,C295)</x:f>
        <x:v>1</x:v>
      </x:c>
      <x:c r="L295" s="13" t="n">
        <x:f>IF(J295=0,0,J295/K295)</x:f>
        <x:v>136.36363636363637</x:v>
      </x:c>
      <x:c r="M295" s="13" t="n">
        <x:f>((H295+I295)/2)*SUMIFS('Cenários de GMD'!$D$4:$D$19,'Cenários de GMD'!$A$4:$A$19,B295,'Cenários de GMD'!$B$4:$B$19,C295)</x:f>
        <x:v>0.17727272727272725</x:v>
      </x:c>
      <x:c r="N295" s="13" t="n">
        <x:f>((H295+I295)/2)*SUMIFS('Cenários de GMD'!$E$4:$E$19,'Cenários de GMD'!$A$4:$A$19,B295,'Cenários de GMD'!$B$4:$B$19,C295)</x:f>
        <x:v>1.2409090909090907</x:v>
      </x:c>
      <x:c r="O295" s="11" t="n">
        <x:f>M295*Insumos!$E$4+N295*Insumos!$E$5</x:f>
        <x:v>2.9993363636363632</x:v>
      </x:c>
      <x:c r="P295" s="11" t="n">
        <x:f>O295*Premissas!$B$7</x:f>
        <x:v>89.9800909090909</x:v>
      </x:c>
      <x:c r="Q295" s="11" t="n">
        <x:f>O295*L295</x:f>
        <x:v>409.00041322314047</x:v>
      </x:c>
      <x:c r="R295" s="11" t="n">
        <x:f>Premissas!$B$7*Premissas!$B$8*L295</x:f>
        <x:v>0</x:v>
      </x:c>
      <x:c r="S295" s="11" t="n">
        <x:f>D295*E295</x:f>
        <x:v>2970</x:v>
      </x:c>
      <x:c r="T295" s="11" t="n">
        <x:f>S295*F295</x:f>
        <x:v>0</x:v>
      </x:c>
      <x:c r="U295" s="11" t="n">
        <x:f>S295-XLOOKUP(A295,Lotes!$A$4:$A$8,Lotes!$D$4:$D$8,Premissas!$B$9)-Q295-R295</x:f>
        <x:v>2560.9995867768594</x:v>
      </x:c>
      <x:c r="V295" s="11" t="n">
        <x:f>U295*F295</x:f>
        <x:v>0</x:v>
      </x:c>
      <x:c r="W295" s="10" t="n">
        <x:f>IF(S295=0,0,U295/S295)</x:f>
        <x:v>0.8622894231571917</x:v>
      </x:c>
      <x:c r="X295" s="11" t="n">
        <x:f>IF(D295-G295&lt;=0,0,Q295/(D295-G295))</x:f>
        <x:v>81.80008264462809</x:v>
      </x:c>
      <x:c r="Y295" s="10" t="n">
        <x:f>IFERROR(U295/(XLOOKUP(A295,Lotes!$A$4:$A$8,Lotes!$D$4:$D$8,Premissas!$B$9)+Q295+R295),0)</x:f>
        <x:v>6.261606355345274</x:v>
      </x:c>
      <x:c r="Z295" s="10" t="n">
        <x:f>IF(L295=0,Y295,Y295/MAX(1,L295/Premissas!$B$7))</x:f>
        <x:v>1.37755339817596</x:v>
      </x:c>
      <x:c r="AA295" s="9" t="str">
        <x:f>IF(L295=0,"Venda imediata",IF(L295&lt;=60,"Baixo",IF(L295&lt;=120,"Médio","Alto")))</x:f>
        <x:v>Alto</x:v>
      </x:c>
      <x:c r="AB295" s="9" t="str">
        <x:f>IF(U295&lt;0,"Não fazer",IF(AA295="Alto","Risco seca",IF(Z295&gt;=0.03,"Bom giro","Margem ok")))</x:f>
        <x:v>Risco seca</x:v>
      </x:c>
    </x:row>
    <x:row r="296">
      <x:c r="A296" s="9" t="str">
        <x:v>Bezerras pequenas 4@</x:v>
      </x:c>
      <x:c r="B296" s="9" t="str">
        <x:v>Agressiva</x:v>
      </x:c>
      <x:c r="C296" s="9" t="str">
        <x:v>Bom</x:v>
      </x:c>
      <x:c r="D296" s="9" t="n">
        <x:v>10.5</x:v>
      </x:c>
      <x:c r="E296" s="11" t="n">
        <x:f>Premissas!$B$6</x:f>
        <x:v>330</x:v>
      </x:c>
      <x:c r="F296" s="9" t="n">
        <x:f>XLOOKUP(A296,Lotes!$A$4:$A$8,Lotes!$B$4:$B$8,0)</x:f>
        <x:v>0</x:v>
      </x:c>
      <x:c r="G296" s="13" t="n">
        <x:f>XLOOKUP(A296,Lotes!$A$4:$A$8,Lotes!$C$4:$C$8,0)</x:f>
        <x:v>4</x:v>
      </x:c>
      <x:c r="H296" s="13" t="n">
        <x:f>G296*Premissas!$B$5/Premissas!$B$4</x:f>
        <x:v>109.09090909090908</x:v>
      </x:c>
      <x:c r="I296" s="13" t="n">
        <x:f>D296*Premissas!$B$5/Premissas!$B$4</x:f>
        <x:v>286.3636363636363</x:v>
      </x:c>
      <x:c r="J296" s="13" t="n">
        <x:f>MAX(0,I296-H296)</x:f>
        <x:v>177.27272727272725</x:v>
      </x:c>
      <x:c r="K296" s="13" t="n">
        <x:f>SUMIFS('Cenários de GMD'!$C$4:$C$19,'Cenários de GMD'!$A$4:$A$19,B296,'Cenários de GMD'!$B$4:$B$19,C296)</x:f>
        <x:v>1</x:v>
      </x:c>
      <x:c r="L296" s="13" t="n">
        <x:f>IF(J296=0,0,J296/K296)</x:f>
        <x:v>177.27272727272725</x:v>
      </x:c>
      <x:c r="M296" s="13" t="n">
        <x:f>((H296+I296)/2)*SUMIFS('Cenários de GMD'!$D$4:$D$19,'Cenários de GMD'!$A$4:$A$19,B296,'Cenários de GMD'!$B$4:$B$19,C296)</x:f>
        <x:v>0.1977272727272727</x:v>
      </x:c>
      <x:c r="N296" s="13" t="n">
        <x:f>((H296+I296)/2)*SUMIFS('Cenários de GMD'!$E$4:$E$19,'Cenários de GMD'!$A$4:$A$19,B296,'Cenários de GMD'!$B$4:$B$19,C296)</x:f>
        <x:v>1.3840909090909088</x:v>
      </x:c>
      <x:c r="O296" s="11" t="n">
        <x:f>M296*Insumos!$E$4+N296*Insumos!$E$5</x:f>
        <x:v>3.3454136363636358</x:v>
      </x:c>
      <x:c r="P296" s="11" t="n">
        <x:f>O296*Premissas!$B$7</x:f>
        <x:v>100.36240909090907</x:v>
      </x:c>
      <x:c r="Q296" s="11" t="n">
        <x:f>O296*L296</x:f>
        <x:v>593.0505991735536</x:v>
      </x:c>
      <x:c r="R296" s="11" t="n">
        <x:f>Premissas!$B$7*Premissas!$B$8*L296</x:f>
        <x:v>0</x:v>
      </x:c>
      <x:c r="S296" s="11" t="n">
        <x:f>D296*E296</x:f>
        <x:v>3465</x:v>
      </x:c>
      <x:c r="T296" s="11" t="n">
        <x:f>S296*F296</x:f>
        <x:v>0</x:v>
      </x:c>
      <x:c r="U296" s="11" t="n">
        <x:f>S296-XLOOKUP(A296,Lotes!$A$4:$A$8,Lotes!$D$4:$D$8,Premissas!$B$9)-Q296-R296</x:f>
        <x:v>2871.9494008264464</x:v>
      </x:c>
      <x:c r="V296" s="11" t="n">
        <x:f>U296*F296</x:f>
        <x:v>0</x:v>
      </x:c>
      <x:c r="W296" s="10" t="n">
        <x:f>IF(S296=0,0,U296/S296)</x:f>
        <x:v>0.8288454259239384</x:v>
      </x:c>
      <x:c r="X296" s="11" t="n">
        <x:f>IF(D296-G296&lt;=0,0,Q296/(D296-G296))</x:f>
        <x:v>91.23855371900824</x:v>
      </x:c>
      <x:c r="Y296" s="10" t="n">
        <x:f>IFERROR(U296/(XLOOKUP(A296,Lotes!$A$4:$A$8,Lotes!$D$4:$D$8,Premissas!$B$9)+Q296+R296),0)</x:f>
        <x:v>4.842671780162865</x:v>
      </x:c>
      <x:c r="Z296" s="10" t="n">
        <x:f>IF(L296=0,Y296,Y296/MAX(1,L296/Premissas!$B$7))</x:f>
        <x:v>0.8195290704891004</x:v>
      </x:c>
      <x:c r="AA296" s="9" t="str">
        <x:f>IF(L296=0,"Venda imediata",IF(L296&lt;=60,"Baixo",IF(L296&lt;=120,"Médio","Alto")))</x:f>
        <x:v>Alto</x:v>
      </x:c>
      <x:c r="AB296" s="9" t="str">
        <x:f>IF(U296&lt;0,"Não fazer",IF(AA296="Alto","Risco seca",IF(Z296&gt;=0.03,"Bom giro","Margem ok")))</x:f>
        <x:v>Risco seca</x:v>
      </x:c>
    </x:row>
    <x:row r="297">
      <x:c r="A297" s="9" t="str">
        <x:v>Bezerras pequenas 4@</x:v>
      </x:c>
      <x:c r="B297" s="9" t="str">
        <x:v>Agressiva</x:v>
      </x:c>
      <x:c r="C297" s="9" t="str">
        <x:v>Bom</x:v>
      </x:c>
      <x:c r="D297" s="9" t="n">
        <x:v>11</x:v>
      </x:c>
      <x:c r="E297" s="11" t="n">
        <x:f>Premissas!$B$6</x:f>
        <x:v>330</x:v>
      </x:c>
      <x:c r="F297" s="9" t="n">
        <x:f>XLOOKUP(A297,Lotes!$A$4:$A$8,Lotes!$B$4:$B$8,0)</x:f>
        <x:v>0</x:v>
      </x:c>
      <x:c r="G297" s="13" t="n">
        <x:f>XLOOKUP(A297,Lotes!$A$4:$A$8,Lotes!$C$4:$C$8,0)</x:f>
        <x:v>4</x:v>
      </x:c>
      <x:c r="H297" s="13" t="n">
        <x:f>G297*Premissas!$B$5/Premissas!$B$4</x:f>
        <x:v>109.09090909090908</x:v>
      </x:c>
      <x:c r="I297" s="13" t="n">
        <x:f>D297*Premissas!$B$5/Premissas!$B$4</x:f>
        <x:v>300</x:v>
      </x:c>
      <x:c r="J297" s="13" t="n">
        <x:f>MAX(0,I297-H297)</x:f>
        <x:v>190.90909090909093</x:v>
      </x:c>
      <x:c r="K297" s="13" t="n">
        <x:f>SUMIFS('Cenários de GMD'!$C$4:$C$19,'Cenários de GMD'!$A$4:$A$19,B297,'Cenários de GMD'!$B$4:$B$19,C297)</x:f>
        <x:v>1</x:v>
      </x:c>
      <x:c r="L297" s="13" t="n">
        <x:f>IF(J297=0,0,J297/K297)</x:f>
        <x:v>190.90909090909093</x:v>
      </x:c>
      <x:c r="M297" s="13" t="n">
        <x:f>((H297+I297)/2)*SUMIFS('Cenários de GMD'!$D$4:$D$19,'Cenários de GMD'!$A$4:$A$19,B297,'Cenários de GMD'!$B$4:$B$19,C297)</x:f>
        <x:v>0.20454545454545453</x:v>
      </x:c>
      <x:c r="N297" s="13" t="n">
        <x:f>((H297+I297)/2)*SUMIFS('Cenários de GMD'!$E$4:$E$19,'Cenários de GMD'!$A$4:$A$19,B297,'Cenários de GMD'!$B$4:$B$19,C297)</x:f>
        <x:v>1.4318181818181817</x:v>
      </x:c>
      <x:c r="O297" s="11" t="n">
        <x:f>M297*Insumos!$E$4+N297*Insumos!$E$5</x:f>
        <x:v>3.460772727272727</x:v>
      </x:c>
      <x:c r="P297" s="11" t="n">
        <x:f>O297*Premissas!$B$7</x:f>
        <x:v>103.82318181818181</x:v>
      </x:c>
      <x:c r="Q297" s="11" t="n">
        <x:f>O297*L297</x:f>
        <x:v>660.6929752066115</x:v>
      </x:c>
      <x:c r="R297" s="11" t="n">
        <x:f>Premissas!$B$7*Premissas!$B$8*L297</x:f>
        <x:v>0</x:v>
      </x:c>
      <x:c r="S297" s="11" t="n">
        <x:f>D297*E297</x:f>
        <x:v>3630</x:v>
      </x:c>
      <x:c r="T297" s="11" t="n">
        <x:f>S297*F297</x:f>
        <x:v>0</x:v>
      </x:c>
      <x:c r="U297" s="11" t="n">
        <x:f>S297-XLOOKUP(A297,Lotes!$A$4:$A$8,Lotes!$D$4:$D$8,Premissas!$B$9)-Q297-R297</x:f>
        <x:v>2969.3070247933883</x:v>
      </x:c>
      <x:c r="V297" s="11" t="n">
        <x:f>U297*F297</x:f>
        <x:v>0</x:v>
      </x:c>
      <x:c r="W297" s="10" t="n">
        <x:f>IF(S297=0,0,U297/S297)</x:f>
        <x:v>0.8179909159210437</x:v>
      </x:c>
      <x:c r="X297" s="11" t="n">
        <x:f>IF(D297-G297&lt;=0,0,Q297/(D297-G297))</x:f>
        <x:v>94.38471074380165</x:v>
      </x:c>
      <x:c r="Y297" s="10" t="n">
        <x:f>IFERROR(U297/(XLOOKUP(A297,Lotes!$A$4:$A$8,Lotes!$D$4:$D$8,Premissas!$B$9)+Q297+R297),0)</x:f>
        <x:v>4.494231263568117</x:v>
      </x:c>
      <x:c r="Z297" s="10" t="n">
        <x:f>IF(L297=0,Y297,Y297/MAX(1,L297/Premissas!$B$7))</x:f>
        <x:v>0.7062363414178469</x:v>
      </x:c>
      <x:c r="AA297" s="9" t="str">
        <x:f>IF(L297=0,"Venda imediata",IF(L297&lt;=60,"Baixo",IF(L297&lt;=120,"Médio","Alto")))</x:f>
        <x:v>Alto</x:v>
      </x:c>
      <x:c r="AB297" s="9" t="str">
        <x:f>IF(U297&lt;0,"Não fazer",IF(AA297="Alto","Risco seca",IF(Z297&gt;=0.03,"Bom giro","Margem ok")))</x:f>
        <x:v>Risco seca</x:v>
      </x:c>
    </x:row>
    <x:row r="298">
      <x:c r="A298" s="9" t="str">
        <x:v>Bezerras pequenas 4@</x:v>
      </x:c>
      <x:c r="B298" s="9" t="str">
        <x:v>Agressiva</x:v>
      </x:c>
      <x:c r="C298" s="9" t="str">
        <x:v>Bom</x:v>
      </x:c>
      <x:c r="D298" s="9" t="n">
        <x:v>12</x:v>
      </x:c>
      <x:c r="E298" s="11" t="n">
        <x:f>Premissas!$B$6</x:f>
        <x:v>330</x:v>
      </x:c>
      <x:c r="F298" s="9" t="n">
        <x:f>XLOOKUP(A298,Lotes!$A$4:$A$8,Lotes!$B$4:$B$8,0)</x:f>
        <x:v>0</x:v>
      </x:c>
      <x:c r="G298" s="13" t="n">
        <x:f>XLOOKUP(A298,Lotes!$A$4:$A$8,Lotes!$C$4:$C$8,0)</x:f>
        <x:v>4</x:v>
      </x:c>
      <x:c r="H298" s="13" t="n">
        <x:f>G298*Premissas!$B$5/Premissas!$B$4</x:f>
        <x:v>109.09090909090908</x:v>
      </x:c>
      <x:c r="I298" s="13" t="n">
        <x:f>D298*Premissas!$B$5/Premissas!$B$4</x:f>
        <x:v>327.27272727272725</x:v>
      </x:c>
      <x:c r="J298" s="13" t="n">
        <x:f>MAX(0,I298-H298)</x:f>
        <x:v>218.1818181818182</x:v>
      </x:c>
      <x:c r="K298" s="13" t="n">
        <x:f>SUMIFS('Cenários de GMD'!$C$4:$C$19,'Cenários de GMD'!$A$4:$A$19,B298,'Cenários de GMD'!$B$4:$B$19,C298)</x:f>
        <x:v>1</x:v>
      </x:c>
      <x:c r="L298" s="13" t="n">
        <x:f>IF(J298=0,0,J298/K298)</x:f>
        <x:v>218.1818181818182</x:v>
      </x:c>
      <x:c r="M298" s="13" t="n">
        <x:f>((H298+I298)/2)*SUMIFS('Cenários de GMD'!$D$4:$D$19,'Cenários de GMD'!$A$4:$A$19,B298,'Cenários de GMD'!$B$4:$B$19,C298)</x:f>
        <x:v>0.21818181818181817</x:v>
      </x:c>
      <x:c r="N298" s="13" t="n">
        <x:f>((H298+I298)/2)*SUMIFS('Cenários de GMD'!$E$4:$E$19,'Cenários de GMD'!$A$4:$A$19,B298,'Cenários de GMD'!$B$4:$B$19,C298)</x:f>
        <x:v>1.5272727272727271</x:v>
      </x:c>
      <x:c r="O298" s="11" t="n">
        <x:f>M298*Insumos!$E$4+N298*Insumos!$E$5</x:f>
        <x:v>3.6914909090909087</x:v>
      </x:c>
      <x:c r="P298" s="11" t="n">
        <x:f>O298*Premissas!$B$7</x:f>
        <x:v>110.74472727272726</x:v>
      </x:c>
      <x:c r="Q298" s="11" t="n">
        <x:f>O298*L298</x:f>
        <x:v>805.4161983471074</x:v>
      </x:c>
      <x:c r="R298" s="11" t="n">
        <x:f>Premissas!$B$7*Premissas!$B$8*L298</x:f>
        <x:v>0</x:v>
      </x:c>
      <x:c r="S298" s="11" t="n">
        <x:f>D298*E298</x:f>
        <x:v>3960</x:v>
      </x:c>
      <x:c r="T298" s="11" t="n">
        <x:f>S298*F298</x:f>
        <x:v>0</x:v>
      </x:c>
      <x:c r="U298" s="11" t="n">
        <x:f>S298-XLOOKUP(A298,Lotes!$A$4:$A$8,Lotes!$D$4:$D$8,Premissas!$B$9)-Q298-R298</x:f>
        <x:v>3154.5838016528924</x:v>
      </x:c>
      <x:c r="V298" s="11" t="n">
        <x:f>U298*F298</x:f>
        <x:v>0</x:v>
      </x:c>
      <x:c r="W298" s="10" t="n">
        <x:f>IF(S298=0,0,U298/S298)</x:f>
        <x:v>0.7966120711244677</x:v>
      </x:c>
      <x:c r="X298" s="11" t="n">
        <x:f>IF(D298-G298&lt;=0,0,Q298/(D298-G298))</x:f>
        <x:v>100.67702479338843</x:v>
      </x:c>
      <x:c r="Y298" s="10" t="n">
        <x:f>IFERROR(U298/(XLOOKUP(A298,Lotes!$A$4:$A$8,Lotes!$D$4:$D$8,Premissas!$B$9)+Q298+R298),0)</x:f>
        <x:v>3.9167126364316953</x:v>
      </x:c>
      <x:c r="Z298" s="10" t="n">
        <x:f>IF(L298=0,Y298,Y298/MAX(1,L298/Premissas!$B$7))</x:f>
        <x:v>0.5385479875093582</x:v>
      </x:c>
      <x:c r="AA298" s="9" t="str">
        <x:f>IF(L298=0,"Venda imediata",IF(L298&lt;=60,"Baixo",IF(L298&lt;=120,"Médio","Alto")))</x:f>
        <x:v>Alto</x:v>
      </x:c>
      <x:c r="AB298" s="9" t="str">
        <x:f>IF(U298&lt;0,"Não fazer",IF(AA298="Alto","Risco seca",IF(Z298&gt;=0.03,"Bom giro","Margem ok")))</x:f>
        <x:v>Risco seca</x:v>
      </x:c>
    </x:row>
    <x:row r="299">
      <x:c r="A299" s="9" t="str">
        <x:v>Bezerras pequenas 4@</x:v>
      </x:c>
      <x:c r="B299" s="9" t="str">
        <x:v>Agressiva</x:v>
      </x:c>
      <x:c r="C299" s="9" t="str">
        <x:v>Ótimo</x:v>
      </x:c>
      <x:c r="D299" s="9" t="n">
        <x:v>8.5</x:v>
      </x:c>
      <x:c r="E299" s="11" t="n">
        <x:f>Premissas!$B$6</x:f>
        <x:v>330</x:v>
      </x:c>
      <x:c r="F299" s="9" t="n">
        <x:f>XLOOKUP(A299,Lotes!$A$4:$A$8,Lotes!$B$4:$B$8,0)</x:f>
        <x:v>0</x:v>
      </x:c>
      <x:c r="G299" s="13" t="n">
        <x:f>XLOOKUP(A299,Lotes!$A$4:$A$8,Lotes!$C$4:$C$8,0)</x:f>
        <x:v>4</x:v>
      </x:c>
      <x:c r="H299" s="13" t="n">
        <x:f>G299*Premissas!$B$5/Premissas!$B$4</x:f>
        <x:v>109.09090909090908</x:v>
      </x:c>
      <x:c r="I299" s="13" t="n">
        <x:f>D299*Premissas!$B$5/Premissas!$B$4</x:f>
        <x:v>231.8181818181818</x:v>
      </x:c>
      <x:c r="J299" s="13" t="n">
        <x:f>MAX(0,I299-H299)</x:f>
        <x:v>122.72727272727273</x:v>
      </x:c>
      <x:c r="K299" s="13" t="n">
        <x:f>SUMIFS('Cenários de GMD'!$C$4:$C$19,'Cenários de GMD'!$A$4:$A$19,B299,'Cenários de GMD'!$B$4:$B$19,C299)</x:f>
        <x:v>1.1</x:v>
      </x:c>
      <x:c r="L299" s="13" t="n">
        <x:f>IF(J299=0,0,J299/K299)</x:f>
        <x:v>111.57024793388429</x:v>
      </x:c>
      <x:c r="M299" s="13" t="n">
        <x:f>((H299+I299)/2)*SUMIFS('Cenários de GMD'!$D$4:$D$19,'Cenários de GMD'!$A$4:$A$19,B299,'Cenários de GMD'!$B$4:$B$19,C299)</x:f>
        <x:v>0.17045454545454544</x:v>
      </x:c>
      <x:c r="N299" s="13" t="n">
        <x:f>((H299+I299)/2)*SUMIFS('Cenários de GMD'!$E$4:$E$19,'Cenários de GMD'!$A$4:$A$19,B299,'Cenários de GMD'!$B$4:$B$19,C299)</x:f>
        <x:v>1.1931818181818181</x:v>
      </x:c>
      <x:c r="O299" s="11" t="n">
        <x:f>M299*Insumos!$E$4+N299*Insumos!$E$5</x:f>
        <x:v>2.8839772727272726</x:v>
      </x:c>
      <x:c r="P299" s="11" t="n">
        <x:f>O299*Premissas!$B$7</x:f>
        <x:v>86.51931818181818</x:v>
      </x:c>
      <x:c r="Q299" s="11" t="n">
        <x:f>O299*L299</x:f>
        <x:v>321.76605935386925</x:v>
      </x:c>
      <x:c r="R299" s="11" t="n">
        <x:f>Premissas!$B$7*Premissas!$B$8*L299</x:f>
        <x:v>0</x:v>
      </x:c>
      <x:c r="S299" s="11" t="n">
        <x:f>D299*E299</x:f>
        <x:v>2805</x:v>
      </x:c>
      <x:c r="T299" s="11" t="n">
        <x:f>S299*F299</x:f>
        <x:v>0</x:v>
      </x:c>
      <x:c r="U299" s="11" t="n">
        <x:f>S299-XLOOKUP(A299,Lotes!$A$4:$A$8,Lotes!$D$4:$D$8,Premissas!$B$9)-Q299-R299</x:f>
        <x:v>2483.2339406461306</x:v>
      </x:c>
      <x:c r="V299" s="11" t="n">
        <x:f>U299*F299</x:f>
        <x:v>0</x:v>
      </x:c>
      <x:c r="W299" s="10" t="n">
        <x:f>IF(S299=0,0,U299/S299)</x:f>
        <x:v>0.8852883923872124</x:v>
      </x:c>
      <x:c r="X299" s="11" t="n">
        <x:f>IF(D299-G299&lt;=0,0,Q299/(D299-G299))</x:f>
        <x:v>71.50356874530428</x:v>
      </x:c>
      <x:c r="Y299" s="10" t="n">
        <x:f>IFERROR(U299/(XLOOKUP(A299,Lotes!$A$4:$A$8,Lotes!$D$4:$D$8,Premissas!$B$9)+Q299+R299),0)</x:f>
        <x:v>7.717513604861412</x:v>
      </x:c>
      <x:c r="Z299" s="10" t="n">
        <x:f>IF(L299=0,Y299,Y299/MAX(1,L299/Premissas!$B$7))</x:f>
        <x:v>2.0751536581960686</x:v>
      </x:c>
      <x:c r="AA299" s="9" t="str">
        <x:f>IF(L299=0,"Venda imediata",IF(L299&lt;=60,"Baixo",IF(L299&lt;=120,"Médio","Alto")))</x:f>
        <x:v>Médio</x:v>
      </x:c>
      <x:c r="AB299" s="9" t="str">
        <x:f>IF(U299&lt;0,"Não fazer",IF(AA299="Alto","Risco seca",IF(Z299&gt;=0.03,"Bom giro","Margem ok")))</x:f>
        <x:v>Bom giro</x:v>
      </x:c>
    </x:row>
    <x:row r="300">
      <x:c r="A300" s="9" t="str">
        <x:v>Bezerras pequenas 4@</x:v>
      </x:c>
      <x:c r="B300" s="9" t="str">
        <x:v>Agressiva</x:v>
      </x:c>
      <x:c r="C300" s="9" t="str">
        <x:v>Ótimo</x:v>
      </x:c>
      <x:c r="D300" s="9" t="n">
        <x:v>9</x:v>
      </x:c>
      <x:c r="E300" s="11" t="n">
        <x:f>Premissas!$B$6</x:f>
        <x:v>330</x:v>
      </x:c>
      <x:c r="F300" s="9" t="n">
        <x:f>XLOOKUP(A300,Lotes!$A$4:$A$8,Lotes!$B$4:$B$8,0)</x:f>
        <x:v>0</x:v>
      </x:c>
      <x:c r="G300" s="13" t="n">
        <x:f>XLOOKUP(A300,Lotes!$A$4:$A$8,Lotes!$C$4:$C$8,0)</x:f>
        <x:v>4</x:v>
      </x:c>
      <x:c r="H300" s="13" t="n">
        <x:f>G300*Premissas!$B$5/Premissas!$B$4</x:f>
        <x:v>109.09090909090908</x:v>
      </x:c>
      <x:c r="I300" s="13" t="n">
        <x:f>D300*Premissas!$B$5/Premissas!$B$4</x:f>
        <x:v>245.45454545454544</x:v>
      </x:c>
      <x:c r="J300" s="13" t="n">
        <x:f>MAX(0,I300-H300)</x:f>
        <x:v>136.36363636363637</x:v>
      </x:c>
      <x:c r="K300" s="13" t="n">
        <x:f>SUMIFS('Cenários de GMD'!$C$4:$C$19,'Cenários de GMD'!$A$4:$A$19,B300,'Cenários de GMD'!$B$4:$B$19,C300)</x:f>
        <x:v>1.1</x:v>
      </x:c>
      <x:c r="L300" s="13" t="n">
        <x:f>IF(J300=0,0,J300/K300)</x:f>
        <x:v>123.96694214876032</x:v>
      </x:c>
      <x:c r="M300" s="13" t="n">
        <x:f>((H300+I300)/2)*SUMIFS('Cenários de GMD'!$D$4:$D$19,'Cenários de GMD'!$A$4:$A$19,B300,'Cenários de GMD'!$B$4:$B$19,C300)</x:f>
        <x:v>0.17727272727272725</x:v>
      </x:c>
      <x:c r="N300" s="13" t="n">
        <x:f>((H300+I300)/2)*SUMIFS('Cenários de GMD'!$E$4:$E$19,'Cenários de GMD'!$A$4:$A$19,B300,'Cenários de GMD'!$B$4:$B$19,C300)</x:f>
        <x:v>1.2409090909090907</x:v>
      </x:c>
      <x:c r="O300" s="11" t="n">
        <x:f>M300*Insumos!$E$4+N300*Insumos!$E$5</x:f>
        <x:v>2.9993363636363632</x:v>
      </x:c>
      <x:c r="P300" s="11" t="n">
        <x:f>O300*Premissas!$B$7</x:f>
        <x:v>89.9800909090909</x:v>
      </x:c>
      <x:c r="Q300" s="11" t="n">
        <x:f>O300*L300</x:f>
        <x:v>371.8185574755822</x:v>
      </x:c>
      <x:c r="R300" s="11" t="n">
        <x:f>Premissas!$B$7*Premissas!$B$8*L300</x:f>
        <x:v>0</x:v>
      </x:c>
      <x:c r="S300" s="11" t="n">
        <x:f>D300*E300</x:f>
        <x:v>2970</x:v>
      </x:c>
      <x:c r="T300" s="11" t="n">
        <x:f>S300*F300</x:f>
        <x:v>0</x:v>
      </x:c>
      <x:c r="U300" s="11" t="n">
        <x:f>S300-XLOOKUP(A300,Lotes!$A$4:$A$8,Lotes!$D$4:$D$8,Premissas!$B$9)-Q300-R300</x:f>
        <x:v>2598.181442524418</x:v>
      </x:c>
      <x:c r="V300" s="11" t="n">
        <x:f>U300*F300</x:f>
        <x:v>0</x:v>
      </x:c>
      <x:c r="W300" s="10" t="n">
        <x:f>IF(S300=0,0,U300/S300)</x:f>
        <x:v>0.874808566506538</x:v>
      </x:c>
      <x:c r="X300" s="11" t="n">
        <x:f>IF(D300-G300&lt;=0,0,Q300/(D300-G300))</x:f>
        <x:v>74.36371149511645</x:v>
      </x:c>
      <x:c r="Y300" s="10" t="n">
        <x:f>IFERROR(U300/(XLOOKUP(A300,Lotes!$A$4:$A$8,Lotes!$D$4:$D$8,Premissas!$B$9)+Q300+R300),0)</x:f>
        <x:v>6.987766990879802</x:v>
      </x:c>
      <x:c r="Z300" s="10" t="n">
        <x:f>IF(L300=0,Y300,Y300/MAX(1,L300/Premissas!$B$7))</x:f>
        <x:v>1.6910396117929123</x:v>
      </x:c>
      <x:c r="AA300" s="9" t="str">
        <x:f>IF(L300=0,"Venda imediata",IF(L300&lt;=60,"Baixo",IF(L300&lt;=120,"Médio","Alto")))</x:f>
        <x:v>Alto</x:v>
      </x:c>
      <x:c r="AB300" s="9" t="str">
        <x:f>IF(U300&lt;0,"Não fazer",IF(AA300="Alto","Risco seca",IF(Z300&gt;=0.03,"Bom giro","Margem ok")))</x:f>
        <x:v>Risco seca</x:v>
      </x:c>
    </x:row>
    <x:row r="301">
      <x:c r="A301" s="9" t="str">
        <x:v>Bezerras pequenas 4@</x:v>
      </x:c>
      <x:c r="B301" s="9" t="str">
        <x:v>Agressiva</x:v>
      </x:c>
      <x:c r="C301" s="9" t="str">
        <x:v>Ótimo</x:v>
      </x:c>
      <x:c r="D301" s="9" t="n">
        <x:v>10.5</x:v>
      </x:c>
      <x:c r="E301" s="11" t="n">
        <x:f>Premissas!$B$6</x:f>
        <x:v>330</x:v>
      </x:c>
      <x:c r="F301" s="9" t="n">
        <x:f>XLOOKUP(A301,Lotes!$A$4:$A$8,Lotes!$B$4:$B$8,0)</x:f>
        <x:v>0</x:v>
      </x:c>
      <x:c r="G301" s="13" t="n">
        <x:f>XLOOKUP(A301,Lotes!$A$4:$A$8,Lotes!$C$4:$C$8,0)</x:f>
        <x:v>4</x:v>
      </x:c>
      <x:c r="H301" s="13" t="n">
        <x:f>G301*Premissas!$B$5/Premissas!$B$4</x:f>
        <x:v>109.09090909090908</x:v>
      </x:c>
      <x:c r="I301" s="13" t="n">
        <x:f>D301*Premissas!$B$5/Premissas!$B$4</x:f>
        <x:v>286.3636363636363</x:v>
      </x:c>
      <x:c r="J301" s="13" t="n">
        <x:f>MAX(0,I301-H301)</x:f>
        <x:v>177.27272727272725</x:v>
      </x:c>
      <x:c r="K301" s="13" t="n">
        <x:f>SUMIFS('Cenários de GMD'!$C$4:$C$19,'Cenários de GMD'!$A$4:$A$19,B301,'Cenários de GMD'!$B$4:$B$19,C301)</x:f>
        <x:v>1.1</x:v>
      </x:c>
      <x:c r="L301" s="13" t="n">
        <x:f>IF(J301=0,0,J301/K301)</x:f>
        <x:v>161.1570247933884</x:v>
      </x:c>
      <x:c r="M301" s="13" t="n">
        <x:f>((H301+I301)/2)*SUMIFS('Cenários de GMD'!$D$4:$D$19,'Cenários de GMD'!$A$4:$A$19,B301,'Cenários de GMD'!$B$4:$B$19,C301)</x:f>
        <x:v>0.1977272727272727</x:v>
      </x:c>
      <x:c r="N301" s="13" t="n">
        <x:f>((H301+I301)/2)*SUMIFS('Cenários de GMD'!$E$4:$E$19,'Cenários de GMD'!$A$4:$A$19,B301,'Cenários de GMD'!$B$4:$B$19,C301)</x:f>
        <x:v>1.3840909090909088</x:v>
      </x:c>
      <x:c r="O301" s="11" t="n">
        <x:f>M301*Insumos!$E$4+N301*Insumos!$E$5</x:f>
        <x:v>3.3454136363636358</x:v>
      </x:c>
      <x:c r="P301" s="11" t="n">
        <x:f>O301*Premissas!$B$7</x:f>
        <x:v>100.36240909090907</x:v>
      </x:c>
      <x:c r="Q301" s="11" t="n">
        <x:f>O301*L301</x:f>
        <x:v>539.136908339594</x:v>
      </x:c>
      <x:c r="R301" s="11" t="n">
        <x:f>Premissas!$B$7*Premissas!$B$8*L301</x:f>
        <x:v>0</x:v>
      </x:c>
      <x:c r="S301" s="11" t="n">
        <x:f>D301*E301</x:f>
        <x:v>3465</x:v>
      </x:c>
      <x:c r="T301" s="11" t="n">
        <x:f>S301*F301</x:f>
        <x:v>0</x:v>
      </x:c>
      <x:c r="U301" s="11" t="n">
        <x:f>S301-XLOOKUP(A301,Lotes!$A$4:$A$8,Lotes!$D$4:$D$8,Premissas!$B$9)-Q301-R301</x:f>
        <x:v>2925.863091660406</x:v>
      </x:c>
      <x:c r="V301" s="11" t="n">
        <x:f>U301*F301</x:f>
        <x:v>0</x:v>
      </x:c>
      <x:c r="W301" s="10" t="n">
        <x:f>IF(S301=0,0,U301/S301)</x:f>
        <x:v>0.8444049326581259</x:v>
      </x:c>
      <x:c r="X301" s="11" t="n">
        <x:f>IF(D301-G301&lt;=0,0,Q301/(D301-G301))</x:f>
        <x:v>82.94413974455293</x:v>
      </x:c>
      <x:c r="Y301" s="10" t="n">
        <x:f>IFERROR(U301/(XLOOKUP(A301,Lotes!$A$4:$A$8,Lotes!$D$4:$D$8,Premissas!$B$9)+Q301+R301),0)</x:f>
        <x:v>5.426938958179154</x:v>
      </x:c>
      <x:c r="Z301" s="10" t="n">
        <x:f>IF(L301=0,Y301,Y301/MAX(1,L301/Premissas!$B$7))</x:f>
        <x:v>1.0102455599071967</x:v>
      </x:c>
      <x:c r="AA301" s="9" t="str">
        <x:f>IF(L301=0,"Venda imediata",IF(L301&lt;=60,"Baixo",IF(L301&lt;=120,"Médio","Alto")))</x:f>
        <x:v>Alto</x:v>
      </x:c>
      <x:c r="AB301" s="9" t="str">
        <x:f>IF(U301&lt;0,"Não fazer",IF(AA301="Alto","Risco seca",IF(Z301&gt;=0.03,"Bom giro","Margem ok")))</x:f>
        <x:v>Risco seca</x:v>
      </x:c>
    </x:row>
    <x:row r="302">
      <x:c r="A302" s="9" t="str">
        <x:v>Bezerras pequenas 4@</x:v>
      </x:c>
      <x:c r="B302" s="9" t="str">
        <x:v>Agressiva</x:v>
      </x:c>
      <x:c r="C302" s="9" t="str">
        <x:v>Ótimo</x:v>
      </x:c>
      <x:c r="D302" s="9" t="n">
        <x:v>11</x:v>
      </x:c>
      <x:c r="E302" s="11" t="n">
        <x:f>Premissas!$B$6</x:f>
        <x:v>330</x:v>
      </x:c>
      <x:c r="F302" s="9" t="n">
        <x:f>XLOOKUP(A302,Lotes!$A$4:$A$8,Lotes!$B$4:$B$8,0)</x:f>
        <x:v>0</x:v>
      </x:c>
      <x:c r="G302" s="13" t="n">
        <x:f>XLOOKUP(A302,Lotes!$A$4:$A$8,Lotes!$C$4:$C$8,0)</x:f>
        <x:v>4</x:v>
      </x:c>
      <x:c r="H302" s="13" t="n">
        <x:f>G302*Premissas!$B$5/Premissas!$B$4</x:f>
        <x:v>109.09090909090908</x:v>
      </x:c>
      <x:c r="I302" s="13" t="n">
        <x:f>D302*Premissas!$B$5/Premissas!$B$4</x:f>
        <x:v>300</x:v>
      </x:c>
      <x:c r="J302" s="13" t="n">
        <x:f>MAX(0,I302-H302)</x:f>
        <x:v>190.90909090909093</x:v>
      </x:c>
      <x:c r="K302" s="13" t="n">
        <x:f>SUMIFS('Cenários de GMD'!$C$4:$C$19,'Cenários de GMD'!$A$4:$A$19,B302,'Cenários de GMD'!$B$4:$B$19,C302)</x:f>
        <x:v>1.1</x:v>
      </x:c>
      <x:c r="L302" s="13" t="n">
        <x:f>IF(J302=0,0,J302/K302)</x:f>
        <x:v>173.55371900826447</x:v>
      </x:c>
      <x:c r="M302" s="13" t="n">
        <x:f>((H302+I302)/2)*SUMIFS('Cenários de GMD'!$D$4:$D$19,'Cenários de GMD'!$A$4:$A$19,B302,'Cenários de GMD'!$B$4:$B$19,C302)</x:f>
        <x:v>0.20454545454545453</x:v>
      </x:c>
      <x:c r="N302" s="13" t="n">
        <x:f>((H302+I302)/2)*SUMIFS('Cenários de GMD'!$E$4:$E$19,'Cenários de GMD'!$A$4:$A$19,B302,'Cenários de GMD'!$B$4:$B$19,C302)</x:f>
        <x:v>1.4318181818181817</x:v>
      </x:c>
      <x:c r="O302" s="11" t="n">
        <x:f>M302*Insumos!$E$4+N302*Insumos!$E$5</x:f>
        <x:v>3.460772727272727</x:v>
      </x:c>
      <x:c r="P302" s="11" t="n">
        <x:f>O302*Premissas!$B$7</x:f>
        <x:v>103.82318181818181</x:v>
      </x:c>
      <x:c r="Q302" s="11" t="n">
        <x:f>O302*L302</x:f>
        <x:v>600.6299774605559</x:v>
      </x:c>
      <x:c r="R302" s="11" t="n">
        <x:f>Premissas!$B$7*Premissas!$B$8*L302</x:f>
        <x:v>0</x:v>
      </x:c>
      <x:c r="S302" s="11" t="n">
        <x:f>D302*E302</x:f>
        <x:v>3630</x:v>
      </x:c>
      <x:c r="T302" s="11" t="n">
        <x:f>S302*F302</x:f>
        <x:v>0</x:v>
      </x:c>
      <x:c r="U302" s="11" t="n">
        <x:f>S302-XLOOKUP(A302,Lotes!$A$4:$A$8,Lotes!$D$4:$D$8,Premissas!$B$9)-Q302-R302</x:f>
        <x:v>3029.370022539444</x:v>
      </x:c>
      <x:c r="V302" s="11" t="n">
        <x:f>U302*F302</x:f>
        <x:v>0</x:v>
      </x:c>
      <x:c r="W302" s="10" t="n">
        <x:f>IF(S302=0,0,U302/S302)</x:f>
        <x:v>0.8345371962918579</x:v>
      </x:c>
      <x:c r="X302" s="11" t="n">
        <x:f>IF(D302-G302&lt;=0,0,Q302/(D302-G302))</x:f>
        <x:v>85.80428249436513</x:v>
      </x:c>
      <x:c r="Y302" s="10" t="n">
        <x:f>IFERROR(U302/(XLOOKUP(A302,Lotes!$A$4:$A$8,Lotes!$D$4:$D$8,Premissas!$B$9)+Q302+R302),0)</x:f>
        <x:v>5.04365438992493</x:v>
      </x:c>
      <x:c r="Z302" s="10" t="n">
        <x:f>IF(L302=0,Y302,Y302/MAX(1,L302/Premissas!$B$7))</x:f>
        <x:v>0.8718316874013092</x:v>
      </x:c>
      <x:c r="AA302" s="9" t="str">
        <x:f>IF(L302=0,"Venda imediata",IF(L302&lt;=60,"Baixo",IF(L302&lt;=120,"Médio","Alto")))</x:f>
        <x:v>Alto</x:v>
      </x:c>
      <x:c r="AB302" s="9" t="str">
        <x:f>IF(U302&lt;0,"Não fazer",IF(AA302="Alto","Risco seca",IF(Z302&gt;=0.03,"Bom giro","Margem ok")))</x:f>
        <x:v>Risco seca</x:v>
      </x:c>
    </x:row>
    <x:row r="303">
      <x:c r="A303" s="9" t="str">
        <x:v>Bezerras pequenas 4@</x:v>
      </x:c>
      <x:c r="B303" s="9" t="str">
        <x:v>Agressiva</x:v>
      </x:c>
      <x:c r="C303" s="9" t="str">
        <x:v>Ótimo</x:v>
      </x:c>
      <x:c r="D303" s="9" t="n">
        <x:v>12</x:v>
      </x:c>
      <x:c r="E303" s="11" t="n">
        <x:f>Premissas!$B$6</x:f>
        <x:v>330</x:v>
      </x:c>
      <x:c r="F303" s="9" t="n">
        <x:f>XLOOKUP(A303,Lotes!$A$4:$A$8,Lotes!$B$4:$B$8,0)</x:f>
        <x:v>0</x:v>
      </x:c>
      <x:c r="G303" s="13" t="n">
        <x:f>XLOOKUP(A303,Lotes!$A$4:$A$8,Lotes!$C$4:$C$8,0)</x:f>
        <x:v>4</x:v>
      </x:c>
      <x:c r="H303" s="13" t="n">
        <x:f>G303*Premissas!$B$5/Premissas!$B$4</x:f>
        <x:v>109.09090909090908</x:v>
      </x:c>
      <x:c r="I303" s="13" t="n">
        <x:f>D303*Premissas!$B$5/Premissas!$B$4</x:f>
        <x:v>327.27272727272725</x:v>
      </x:c>
      <x:c r="J303" s="13" t="n">
        <x:f>MAX(0,I303-H303)</x:f>
        <x:v>218.1818181818182</x:v>
      </x:c>
      <x:c r="K303" s="13" t="n">
        <x:f>SUMIFS('Cenários de GMD'!$C$4:$C$19,'Cenários de GMD'!$A$4:$A$19,B303,'Cenários de GMD'!$B$4:$B$19,C303)</x:f>
        <x:v>1.1</x:v>
      </x:c>
      <x:c r="L303" s="13" t="n">
        <x:f>IF(J303=0,0,J303/K303)</x:f>
        <x:v>198.3471074380165</x:v>
      </x:c>
      <x:c r="M303" s="13" t="n">
        <x:f>((H303+I303)/2)*SUMIFS('Cenários de GMD'!$D$4:$D$19,'Cenários de GMD'!$A$4:$A$19,B303,'Cenários de GMD'!$B$4:$B$19,C303)</x:f>
        <x:v>0.21818181818181817</x:v>
      </x:c>
      <x:c r="N303" s="13" t="n">
        <x:f>((H303+I303)/2)*SUMIFS('Cenários de GMD'!$E$4:$E$19,'Cenários de GMD'!$A$4:$A$19,B303,'Cenários de GMD'!$B$4:$B$19,C303)</x:f>
        <x:v>1.5272727272727271</x:v>
      </x:c>
      <x:c r="O303" s="11" t="n">
        <x:f>M303*Insumos!$E$4+N303*Insumos!$E$5</x:f>
        <x:v>3.6914909090909087</x:v>
      </x:c>
      <x:c r="P303" s="11" t="n">
        <x:f>O303*Premissas!$B$7</x:f>
        <x:v>110.74472727272726</x:v>
      </x:c>
      <x:c r="Q303" s="11" t="n">
        <x:f>O303*L303</x:f>
        <x:v>732.1965439519157</x:v>
      </x:c>
      <x:c r="R303" s="11" t="n">
        <x:f>Premissas!$B$7*Premissas!$B$8*L303</x:f>
        <x:v>0</x:v>
      </x:c>
      <x:c r="S303" s="11" t="n">
        <x:f>D303*E303</x:f>
        <x:v>3960</x:v>
      </x:c>
      <x:c r="T303" s="11" t="n">
        <x:f>S303*F303</x:f>
        <x:v>0</x:v>
      </x:c>
      <x:c r="U303" s="11" t="n">
        <x:f>S303-XLOOKUP(A303,Lotes!$A$4:$A$8,Lotes!$D$4:$D$8,Premissas!$B$9)-Q303-R303</x:f>
        <x:v>3227.803456048084</x:v>
      </x:c>
      <x:c r="V303" s="11" t="n">
        <x:f>U303*F303</x:f>
        <x:v>0</x:v>
      </x:c>
      <x:c r="W303" s="10" t="n">
        <x:f>IF(S303=0,0,U303/S303)</x:f>
        <x:v>0.8151018828404253</x:v>
      </x:c>
      <x:c r="X303" s="11" t="n">
        <x:f>IF(D303-G303&lt;=0,0,Q303/(D303-G303))</x:f>
        <x:v>91.52456799398946</x:v>
      </x:c>
      <x:c r="Y303" s="10" t="n">
        <x:f>IFERROR(U303/(XLOOKUP(A303,Lotes!$A$4:$A$8,Lotes!$D$4:$D$8,Premissas!$B$9)+Q303+R303),0)</x:f>
        <x:v>4.408383900074866</x:v>
      </x:c>
      <x:c r="Z303" s="10" t="n">
        <x:f>IF(L303=0,Y303,Y303/MAX(1,L303/Premissas!$B$7))</x:f>
        <x:v>0.6667680648863236</x:v>
      </x:c>
      <x:c r="AA303" s="9" t="str">
        <x:f>IF(L303=0,"Venda imediata",IF(L303&lt;=60,"Baixo",IF(L303&lt;=120,"Médio","Alto")))</x:f>
        <x:v>Alto</x:v>
      </x:c>
      <x:c r="AB303" s="9" t="str">
        <x:f>IF(U303&lt;0,"Não fazer",IF(AA303="Alto","Risco seca",IF(Z303&gt;=0.03,"Bom giro","Margem ok")))</x:f>
        <x:v>Risco seca</x:v>
      </x:c>
    </x:row>
  </x:sheetData>
  <x:mergeCells>
    <x:mergeCell ref="A1:A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.850000381469727" hidden="0" customWidth="1"/>
    <x:col min="2" max="2" width="14.850000381469727" hidden="0" customWidth="1"/>
    <x:col min="3" max="3" width="14.850000381469727" hidden="0" customWidth="1"/>
    <x:col min="4" max="4" width="14.850000381469727" hidden="0" customWidth="1"/>
    <x:col min="5" max="5" width="14.850000381469727" hidden="0" customWidth="1"/>
    <x:col min="6" max="6" width="14.850000381469727" hidden="0" customWidth="1"/>
    <x:col min="7" max="7" width="14.850000381469727" hidden="0" customWidth="1"/>
    <x:col min="8" max="8" width="14.850000381469727" hidden="0" customWidth="1"/>
    <x:col min="9" max="9" width="14.850000381469727" hidden="0" customWidth="1"/>
    <x:col min="10" max="10" width="14.850000381469727" hidden="0" customWidth="1"/>
    <x:col min="11" max="11" width="14.850000381469727" hidden="0" customWidth="1"/>
    <x:col min="12" max="12" width="14.850000381469727" hidden="0" customWidth="1"/>
    <x:col min="13" max="13" width="14.850000381469727" hidden="0" customWidth="1"/>
    <x:col min="14" max="14" width="29.450000762939453" hidden="0" customWidth="1"/>
    <x:col min="15" max="15" width="14.850000381469727" hidden="0" customWidth="1"/>
  </x:cols>
  <x:sheetData>
    <x:row r="1" ht="25.5" customHeight="1">
      <x:c r="A1" s="16" t="str">
        <x:v>Sensibilidade por preço da arroba - estratégia Econômica / GMD Base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  <x:c r="AA1" s="17"/>
      <x:c r="AB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</x:row>
    <x:row r="3">
      <x:c r="A3" s="18" t="str">
        <x:v>Lote</x:v>
      </x:c>
      <x:c r="B3" s="18" t="str">
        <x:v>Preço @</x:v>
      </x:c>
      <x:c r="C3" s="18" t="str">
        <x:v>Meta @</x:v>
      </x:c>
      <x:c r="D3" s="18" t="str">
        <x:v>@ atual</x:v>
      </x:c>
      <x:c r="E3" s="18" t="str">
        <x:v>Dias</x:v>
      </x:c>
      <x:c r="F3" s="18" t="str">
        <x:v>Custo alim acum.</x:v>
      </x:c>
      <x:c r="G3" s="18" t="str">
        <x:v>Receita/cab</x:v>
      </x:c>
      <x:c r="H3" s="18" t="str">
        <x:v>Lucro/cab</x:v>
      </x:c>
      <x:c r="I3" s="18" t="str">
        <x:v>Lucro total</x:v>
      </x:c>
      <x:c r="J3" s="18" t="str">
        <x:v>Margem %</x:v>
      </x:c>
      <x:c r="K3" s="18" t="str">
        <x:v>ROI</x:v>
      </x:c>
      <x:c r="L3" s="18" t="str">
        <x:v>Risco seca</x:v>
      </x:c>
      <x:c r="M3" s="18" t="str">
        <x:v>Decisão</x:v>
      </x:c>
      <x:c r="N3" s="18" t="str">
        <x:v>Observação</x:v>
      </x:c>
      <x:c r="O3" s="18" t="str">
        <x:v>Qtd.</x:v>
      </x:c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  <x:c r="AA3" s="17"/>
      <x:c r="AB3" s="17"/>
    </x:row>
    <x:row r="4">
      <x:c r="A4" s="19" t="str">
        <x:v>Lote maior - base 8,5@</x:v>
      </x:c>
      <x:c r="B4" s="21" t="n">
        <x:v>300</x:v>
      </x:c>
      <x:c r="C4" s="23" t="n">
        <x:v>8.5</x:v>
      </x:c>
      <x:c r="D4" s="23" t="n">
        <x:f>XLOOKUP(A4,Lotes!$A$4:$A$8,Lotes!$C$4:$C$8,0)</x:f>
        <x:v>8.5</x:v>
      </x:c>
      <x:c r="E4" s="23" t="n">
        <x:f>MAX(0,(C4*Premissas!$B$5/Premissas!$B$4)-(D4*Premissas!$B$5/Premissas!$B$4))/SUMIFS('Cenários de GMD'!$C$4:$C$19,'Cenários de GMD'!$A$4:$A$19,"Econômica",'Cenários de GMD'!$B$4:$B$19,"Base")</x:f>
        <x:v>0</x:v>
      </x:c>
      <x:c r="F4" s="21" t="n">
        <x:f>(((D4*Premissas!$B$5/Premissas!$B$4)+(C4*Premissas!$B$5/Premissas!$B$4))/2)*(SUMIFS('Cenários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GMD'!$B$4:$B$19,"Base")*Insumos!$E$5)*E4</x:f>
        <x:v>0</x:v>
      </x:c>
      <x:c r="G4" s="21" t="n">
        <x:f>B4*C4</x:f>
        <x:v>2550</x:v>
      </x:c>
      <x:c r="H4" s="21" t="n">
        <x:f>G4-XLOOKUP(A4,Lotes!$A$4:$A$8,Lotes!$D$4:$D$8,Premissas!$B$9)-F4</x:f>
        <x:v>600</x:v>
      </x:c>
      <x:c r="I4" s="21" t="n">
        <x:f>H4*O4</x:f>
        <x:v>10200</x:v>
      </x:c>
      <x:c r="J4" s="20" t="n">
        <x:f>IF(G4=0,0,H4/G4)</x:f>
        <x:v>0.23529411764705882</x:v>
      </x:c>
      <x:c r="K4" s="20" t="n">
        <x:f>IFERROR(H4/(XLOOKUP(A4,Lotes!$A$4:$A$8,Lotes!$D$4:$D$8,Premissas!$B$9)+F4),0)</x:f>
        <x:v>0.3076923076923077</x:v>
      </x:c>
      <x:c r="L4" s="19" t="str">
        <x:f>IF(E4=0,"Venda imediata",IF(E4&lt;=60,"Baixo",IF(E4&lt;=120,"Médio","Alto")))</x:f>
        <x:v>Venda imediata</x:v>
      </x:c>
      <x:c r="M4" s="19" t="str">
        <x:f>IF(H4&lt;0,"Não comprar/tratar",IF(L4="Alto","Só se preço/pasto compensar","Viável"))</x:f>
        <x:v>Viável</x:v>
      </x:c>
      <x:c r="N4" s="19" t="str">
        <x:f>IF(C4=12,"Testar margem incremental; não perseguir automaticamente","Comparar com giro e risco")</x:f>
        <x:v>Comparar com giro e risco</x:v>
      </x:c>
      <x:c r="O4" s="19" t="n">
        <x:f>XLOOKUP(A4,Lotes!$A$4:$A$8,Lotes!$B$4:$B$8,0)</x:f>
        <x:v>17</x:v>
      </x:c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  <x:c r="AA4" s="17"/>
      <x:c r="AB4" s="17"/>
    </x:row>
    <x:row r="5">
      <x:c r="A5" s="19" t="str">
        <x:v>Lote maior - base 8,5@</x:v>
      </x:c>
      <x:c r="B5" s="21" t="n">
        <x:v>300</x:v>
      </x:c>
      <x:c r="C5" s="23" t="n">
        <x:v>9</x:v>
      </x:c>
      <x:c r="D5" s="23" t="n">
        <x:f>XLOOKUP(A5,Lotes!$A$4:$A$8,Lotes!$C$4:$C$8,0)</x:f>
        <x:v>8.5</x:v>
      </x:c>
      <x:c r="E5" s="23" t="n">
        <x:f>MAX(0,(C5*Premissas!$B$5/Premissas!$B$4)-(D5*Premissas!$B$5/Premissas!$B$4))/SUMIFS('Cenários de GMD'!$C$4:$C$19,'Cenários de GMD'!$A$4:$A$19,"Econômica",'Cenários de GMD'!$B$4:$B$19,"Base")</x:f>
        <x:v>27.272727272727252</x:v>
      </x:c>
      <x:c r="F5" s="21" t="n">
        <x:f>(((D5*Premissas!$B$5/Premissas!$B$4)+(C5*Premissas!$B$5/Premissas!$B$4))/2)*(SUMIFS('Cenários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GMD'!$B$4:$B$19,"Base")*Insumos!$E$5)*E5</x:f>
        <x:v>58.48326446280987</x:v>
      </x:c>
      <x:c r="G5" s="21" t="n">
        <x:f>B5*C5</x:f>
        <x:v>2700</x:v>
      </x:c>
      <x:c r="H5" s="21" t="n">
        <x:f>G5-XLOOKUP(A5,Lotes!$A$4:$A$8,Lotes!$D$4:$D$8,Premissas!$B$9)-F5</x:f>
        <x:v>691.5167355371901</x:v>
      </x:c>
      <x:c r="I5" s="21" t="n">
        <x:f>H5*O5</x:f>
        <x:v>11755.784504132233</x:v>
      </x:c>
      <x:c r="J5" s="20" t="n">
        <x:f>IF(G5=0,0,H5/G5)</x:f>
        <x:v>0.2561173094582186</x:v>
      </x:c>
      <x:c r="K5" s="20" t="n">
        <x:f>IFERROR(H5/(XLOOKUP(A5,Lotes!$A$4:$A$8,Lotes!$D$4:$D$8,Premissas!$B$9)+F5),0)</x:f>
        <x:v>0.3442979823494539</x:v>
      </x:c>
      <x:c r="L5" s="19" t="str">
        <x:f>IF(E5=0,"Venda imediata",IF(E5&lt;=60,"Baixo",IF(E5&lt;=120,"Médio","Alto")))</x:f>
        <x:v>Baixo</x:v>
      </x:c>
      <x:c r="M5" s="19" t="str">
        <x:f>IF(H5&lt;0,"Não comprar/tratar",IF(L5="Alto","Só se preço/pasto compensar","Viável"))</x:f>
        <x:v>Viável</x:v>
      </x:c>
      <x:c r="N5" s="19" t="str">
        <x:f>IF(C5=12,"Testar margem incremental; não perseguir automaticamente","Comparar com giro e risco")</x:f>
        <x:v>Comparar com giro e risco</x:v>
      </x:c>
      <x:c r="O5" s="19" t="n">
        <x:f>XLOOKUP(A5,Lotes!$A$4:$A$8,Lotes!$B$4:$B$8,0)</x:f>
        <x:v>17</x:v>
      </x:c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  <x:c r="AA5" s="17"/>
      <x:c r="AB5" s="17"/>
    </x:row>
    <x:row r="6">
      <x:c r="A6" s="19" t="str">
        <x:v>Lote maior - base 8,5@</x:v>
      </x:c>
      <x:c r="B6" s="21" t="n">
        <x:v>300</x:v>
      </x:c>
      <x:c r="C6" s="23" t="n">
        <x:v>10.5</x:v>
      </x:c>
      <x:c r="D6" s="23" t="n">
        <x:f>XLOOKUP(A6,Lotes!$A$4:$A$8,Lotes!$C$4:$C$8,0)</x:f>
        <x:v>8.5</x:v>
      </x:c>
      <x:c r="E6" s="23" t="n">
        <x:f>MAX(0,(C6*Premissas!$B$5/Premissas!$B$4)-(D6*Premissas!$B$5/Premissas!$B$4))/SUMIFS('Cenários de GMD'!$C$4:$C$19,'Cenários de GMD'!$A$4:$A$19,"Econômica",'Cenários de GMD'!$B$4:$B$19,"Base")</x:f>
        <x:v>109.09090909090901</x:v>
      </x:c>
      <x:c r="F6" s="21" t="n">
        <x:f>(((D6*Premissas!$B$5/Premissas!$B$4)+(C6*Premissas!$B$5/Premissas!$B$4))/2)*(SUMIFS('Cenários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GMD'!$B$4:$B$19,"Base")*Insumos!$E$5)*E6</x:f>
        <x:v>253.98446280991715</x:v>
      </x:c>
      <x:c r="G6" s="21" t="n">
        <x:f>B6*C6</x:f>
        <x:v>3150</x:v>
      </x:c>
      <x:c r="H6" s="21" t="n">
        <x:f>G6-XLOOKUP(A6,Lotes!$A$4:$A$8,Lotes!$D$4:$D$8,Premissas!$B$9)-F6</x:f>
        <x:v>946.0155371900828</x:v>
      </x:c>
      <x:c r="I6" s="21" t="n">
        <x:f>H6*O6</x:f>
        <x:v>16082.264132231408</x:v>
      </x:c>
      <x:c r="J6" s="20" t="n">
        <x:f>IF(G6=0,0,H6/G6)</x:f>
        <x:v>0.30032239275875644</x:v>
      </x:c>
      <x:c r="K6" s="20" t="n">
        <x:f>IFERROR(H6/(XLOOKUP(A6,Lotes!$A$4:$A$8,Lotes!$D$4:$D$8,Premissas!$B$9)+F6),0)</x:f>
        <x:v>0.42922967614026775</x:v>
      </x:c>
      <x:c r="L6" s="19" t="str">
        <x:f>IF(E6=0,"Venda imediata",IF(E6&lt;=60,"Baixo",IF(E6&lt;=120,"Médio","Alto")))</x:f>
        <x:v>Médio</x:v>
      </x:c>
      <x:c r="M6" s="19" t="str">
        <x:f>IF(H6&lt;0,"Não comprar/tratar",IF(L6="Alto","Só se preço/pasto compensar","Viável"))</x:f>
        <x:v>Viável</x:v>
      </x:c>
      <x:c r="N6" s="19" t="str">
        <x:f>IF(C6=12,"Testar margem incremental; não perseguir automaticamente","Comparar com giro e risco")</x:f>
        <x:v>Comparar com giro e risco</x:v>
      </x:c>
      <x:c r="O6" s="19" t="n">
        <x:f>XLOOKUP(A6,Lotes!$A$4:$A$8,Lotes!$B$4:$B$8,0)</x:f>
        <x:v>17</x:v>
      </x:c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  <x:c r="AA6" s="17"/>
      <x:c r="AB6" s="17"/>
    </x:row>
    <x:row r="7">
      <x:c r="A7" s="19" t="str">
        <x:v>Lote maior - base 8,5@</x:v>
      </x:c>
      <x:c r="B7" s="21" t="n">
        <x:v>300</x:v>
      </x:c>
      <x:c r="C7" s="23" t="n">
        <x:v>11</x:v>
      </x:c>
      <x:c r="D7" s="23" t="n">
        <x:f>XLOOKUP(A7,Lotes!$A$4:$A$8,Lotes!$C$4:$C$8,0)</x:f>
        <x:v>8.5</x:v>
      </x:c>
      <x:c r="E7" s="23" t="n">
        <x:f>MAX(0,(C7*Premissas!$B$5/Premissas!$B$4)-(D7*Premissas!$B$5/Premissas!$B$4))/SUMIFS('Cenários de GMD'!$C$4:$C$19,'Cenários de GMD'!$A$4:$A$19,"Econômica",'Cenários de GMD'!$B$4:$B$19,"Base")</x:f>
        <x:v>136.36363636363637</x:v>
      </x:c>
      <x:c r="F7" s="21" t="n">
        <x:f>(((D7*Premissas!$B$5/Premissas!$B$4)+(C7*Premissas!$B$5/Premissas!$B$4))/2)*(SUMIFS('Cenários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GMD'!$B$4:$B$19,"Base")*Insumos!$E$5)*E7</x:f>
        <x:v>325.8353305785124</x:v>
      </x:c>
      <x:c r="G7" s="21" t="n">
        <x:f>B7*C7</x:f>
        <x:v>3300</x:v>
      </x:c>
      <x:c r="H7" s="21" t="n">
        <x:f>G7-XLOOKUP(A7,Lotes!$A$4:$A$8,Lotes!$D$4:$D$8,Premissas!$B$9)-F7</x:f>
        <x:v>1024.1646694214876</x:v>
      </x:c>
      <x:c r="I7" s="21" t="n">
        <x:f>H7*O7</x:f>
        <x:v>17410.79938016529</x:v>
      </x:c>
      <x:c r="J7" s="20" t="n">
        <x:f>IF(G7=0,0,H7/G7)</x:f>
        <x:v>0.3103529301277235</x:v>
      </x:c>
      <x:c r="K7" s="20" t="n">
        <x:f>IFERROR(H7/(XLOOKUP(A7,Lotes!$A$4:$A$8,Lotes!$D$4:$D$8,Premissas!$B$9)+F7),0)</x:f>
        <x:v>0.4500170357936869</x:v>
      </x:c>
      <x:c r="L7" s="19" t="str">
        <x:f>IF(E7=0,"Venda imediata",IF(E7&lt;=60,"Baixo",IF(E7&lt;=120,"Médio","Alto")))</x:f>
        <x:v>Alto</x:v>
      </x:c>
      <x:c r="M7" s="19" t="str">
        <x:f>IF(H7&lt;0,"Não comprar/tratar",IF(L7="Alto","Só se preço/pasto compensar","Viável"))</x:f>
        <x:v>Só se preço/pasto compensar</x:v>
      </x:c>
      <x:c r="N7" s="19" t="str">
        <x:f>IF(C7=12,"Testar margem incremental; não perseguir automaticamente","Comparar com giro e risco")</x:f>
        <x:v>Comparar com giro e risco</x:v>
      </x:c>
      <x:c r="O7" s="19" t="n">
        <x:f>XLOOKUP(A7,Lotes!$A$4:$A$8,Lotes!$B$4:$B$8,0)</x:f>
        <x:v>17</x:v>
      </x:c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  <x:c r="AA7" s="17"/>
      <x:c r="AB7" s="17"/>
    </x:row>
    <x:row r="8">
      <x:c r="A8" s="19" t="str">
        <x:v>Lote maior - base 8,5@</x:v>
      </x:c>
      <x:c r="B8" s="21" t="n">
        <x:v>300</x:v>
      </x:c>
      <x:c r="C8" s="23" t="n">
        <x:v>12</x:v>
      </x:c>
      <x:c r="D8" s="23" t="n">
        <x:f>XLOOKUP(A8,Lotes!$A$4:$A$8,Lotes!$C$4:$C$8,0)</x:f>
        <x:v>8.5</x:v>
      </x:c>
      <x:c r="E8" s="23" t="n">
        <x:f>MAX(0,(C8*Premissas!$B$5/Premissas!$B$4)-(D8*Premissas!$B$5/Premissas!$B$4))/SUMIFS('Cenários de GMD'!$C$4:$C$19,'Cenários de GMD'!$A$4:$A$19,"Econômica",'Cenários de GMD'!$B$4:$B$19,"Base")</x:f>
        <x:v>190.90909090909088</x:v>
      </x:c>
      <x:c r="F8" s="21" t="n">
        <x:f>(((D8*Premissas!$B$5/Premissas!$B$4)+(C8*Premissas!$B$5/Premissas!$B$4))/2)*(SUMIFS('Cenários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GMD'!$B$4:$B$19,"Base")*Insumos!$E$5)*E8</x:f>
        <x:v>479.56276859504123</x:v>
      </x:c>
      <x:c r="G8" s="21" t="n">
        <x:f>B8*C8</x:f>
        <x:v>3600</x:v>
      </x:c>
      <x:c r="H8" s="21" t="n">
        <x:f>G8-XLOOKUP(A8,Lotes!$A$4:$A$8,Lotes!$D$4:$D$8,Premissas!$B$9)-F8</x:f>
        <x:v>1170.4372314049588</x:v>
      </x:c>
      <x:c r="I8" s="21" t="n">
        <x:f>H8*O8</x:f>
        <x:v>19897.432933884298</x:v>
      </x:c>
      <x:c r="J8" s="20" t="n">
        <x:f>IF(G8=0,0,H8/G8)</x:f>
        <x:v>0.3251214531680441</x:v>
      </x:c>
      <x:c r="K8" s="20" t="n">
        <x:f>IFERROR(H8/(XLOOKUP(A8,Lotes!$A$4:$A$8,Lotes!$D$4:$D$8,Premissas!$B$9)+F8),0)</x:f>
        <x:v>0.481748093333598</x:v>
      </x:c>
      <x:c r="L8" s="19" t="str">
        <x:f>IF(E8=0,"Venda imediata",IF(E8&lt;=60,"Baixo",IF(E8&lt;=120,"Médio","Alto")))</x:f>
        <x:v>Alto</x:v>
      </x:c>
      <x:c r="M8" s="19" t="str">
        <x:f>IF(H8&lt;0,"Não comprar/tratar",IF(L8="Alto","Só se preço/pasto compensar","Viável"))</x:f>
        <x:v>Só se preço/pasto compensar</x:v>
      </x:c>
      <x:c r="N8" s="19" t="str">
        <x:f>IF(C8=12,"Testar margem incremental; não perseguir automaticamente","Comparar com giro e risco")</x:f>
        <x:v>Testar margem incremental; não perseguir automaticamente</x:v>
      </x:c>
      <x:c r="O8" s="19" t="n">
        <x:f>XLOOKUP(A8,Lotes!$A$4:$A$8,Lotes!$B$4:$B$8,0)</x:f>
        <x:v>17</x:v>
      </x:c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  <x:c r="AA8" s="17"/>
      <x:c r="AB8" s="17"/>
    </x:row>
    <x:row r="9">
      <x:c r="A9" s="19" t="str">
        <x:v>Lote maior - base 8,5@</x:v>
      </x:c>
      <x:c r="B9" s="21" t="n">
        <x:v>320</x:v>
      </x:c>
      <x:c r="C9" s="23" t="n">
        <x:v>8.5</x:v>
      </x:c>
      <x:c r="D9" s="23" t="n">
        <x:f>XLOOKUP(A9,Lotes!$A$4:$A$8,Lotes!$C$4:$C$8,0)</x:f>
        <x:v>8.5</x:v>
      </x:c>
      <x:c r="E9" s="23" t="n">
        <x:f>MAX(0,(C9*Premissas!$B$5/Premissas!$B$4)-(D9*Premissas!$B$5/Premissas!$B$4))/SUMIFS('Cenários de GMD'!$C$4:$C$19,'Cenários de GMD'!$A$4:$A$19,"Econômica",'Cenários de GMD'!$B$4:$B$19,"Base")</x:f>
        <x:v>0</x:v>
      </x:c>
      <x:c r="F9" s="21" t="n">
        <x:f>(((D9*Premissas!$B$5/Premissas!$B$4)+(C9*Premissas!$B$5/Premissas!$B$4))/2)*(SUMIFS('Cenários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GMD'!$B$4:$B$19,"Base")*Insumos!$E$5)*E9</x:f>
        <x:v>0</x:v>
      </x:c>
      <x:c r="G9" s="21" t="n">
        <x:f>B9*C9</x:f>
        <x:v>2720</x:v>
      </x:c>
      <x:c r="H9" s="21" t="n">
        <x:f>G9-XLOOKUP(A9,Lotes!$A$4:$A$8,Lotes!$D$4:$D$8,Premissas!$B$9)-F9</x:f>
        <x:v>770</x:v>
      </x:c>
      <x:c r="I9" s="21" t="n">
        <x:f>H9*O9</x:f>
        <x:v>13090</x:v>
      </x:c>
      <x:c r="J9" s="20" t="n">
        <x:f>IF(G9=0,0,H9/G9)</x:f>
        <x:v>0.28308823529411764</x:v>
      </x:c>
      <x:c r="K9" s="20" t="n">
        <x:f>IFERROR(H9/(XLOOKUP(A9,Lotes!$A$4:$A$8,Lotes!$D$4:$D$8,Premissas!$B$9)+F9),0)</x:f>
        <x:v>0.39487179487179486</x:v>
      </x:c>
      <x:c r="L9" s="19" t="str">
        <x:f>IF(E9=0,"Venda imediata",IF(E9&lt;=60,"Baixo",IF(E9&lt;=120,"Médio","Alto")))</x:f>
        <x:v>Venda imediata</x:v>
      </x:c>
      <x:c r="M9" s="19" t="str">
        <x:f>IF(H9&lt;0,"Não comprar/tratar",IF(L9="Alto","Só se preço/pasto compensar","Viável"))</x:f>
        <x:v>Viável</x:v>
      </x:c>
      <x:c r="N9" s="19" t="str">
        <x:f>IF(C9=12,"Testar margem incremental; não perseguir automaticamente","Comparar com giro e risco")</x:f>
        <x:v>Comparar com giro e risco</x:v>
      </x:c>
      <x:c r="O9" s="19" t="n">
        <x:f>XLOOKUP(A9,Lotes!$A$4:$A$8,Lotes!$B$4:$B$8,0)</x:f>
        <x:v>17</x:v>
      </x:c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</x:row>
    <x:row r="10">
      <x:c r="A10" s="19" t="str">
        <x:v>Lote maior - base 8,5@</x:v>
      </x:c>
      <x:c r="B10" s="21" t="n">
        <x:v>320</x:v>
      </x:c>
      <x:c r="C10" s="23" t="n">
        <x:v>9</x:v>
      </x:c>
      <x:c r="D10" s="23" t="n">
        <x:f>XLOOKUP(A10,Lotes!$A$4:$A$8,Lotes!$C$4:$C$8,0)</x:f>
        <x:v>8.5</x:v>
      </x:c>
      <x:c r="E10" s="23" t="n">
        <x:f>MAX(0,(C10*Premissas!$B$5/Premissas!$B$4)-(D10*Premissas!$B$5/Premissas!$B$4))/SUMIFS('Cenários de GMD'!$C$4:$C$19,'Cenários de GMD'!$A$4:$A$19,"Econômica",'Cenários de GMD'!$B$4:$B$19,"Base")</x:f>
        <x:v>27.272727272727252</x:v>
      </x:c>
      <x:c r="F10" s="21" t="n">
        <x:f>(((D10*Premissas!$B$5/Premissas!$B$4)+(C10*Premissas!$B$5/Premissas!$B$4))/2)*(SUMIFS('Cenários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GMD'!$B$4:$B$19,"Base")*Insumos!$E$5)*E10</x:f>
        <x:v>58.48326446280987</x:v>
      </x:c>
      <x:c r="G10" s="21" t="n">
        <x:f>B10*C10</x:f>
        <x:v>2880</x:v>
      </x:c>
      <x:c r="H10" s="21" t="n">
        <x:f>G10-XLOOKUP(A10,Lotes!$A$4:$A$8,Lotes!$D$4:$D$8,Premissas!$B$9)-F10</x:f>
        <x:v>871.5167355371901</x:v>
      </x:c>
      <x:c r="I10" s="21" t="n">
        <x:f>H10*O10</x:f>
        <x:v>14815.784504132233</x:v>
      </x:c>
      <x:c r="J10" s="20" t="n">
        <x:f>IF(G10=0,0,H10/G10)</x:f>
        <x:v>0.3026099776170799</x:v>
      </x:c>
      <x:c r="K10" s="20" t="n">
        <x:f>IFERROR(H10/(XLOOKUP(A10,Lotes!$A$4:$A$8,Lotes!$D$4:$D$8,Premissas!$B$9)+F10),0)</x:f>
        <x:v>0.4339178478394175</x:v>
      </x:c>
      <x:c r="L10" s="19" t="str">
        <x:f>IF(E10=0,"Venda imediata",IF(E10&lt;=60,"Baixo",IF(E10&lt;=120,"Médio","Alto")))</x:f>
        <x:v>Baixo</x:v>
      </x:c>
      <x:c r="M10" s="19" t="str">
        <x:f>IF(H10&lt;0,"Não comprar/tratar",IF(L10="Alto","Só se preço/pasto compensar","Viável"))</x:f>
        <x:v>Viável</x:v>
      </x:c>
      <x:c r="N10" s="19" t="str">
        <x:f>IF(C10=12,"Testar margem incremental; não perseguir automaticamente","Comparar com giro e risco")</x:f>
        <x:v>Comparar com giro e risco</x:v>
      </x:c>
      <x:c r="O10" s="19" t="n">
        <x:f>XLOOKUP(A10,Lotes!$A$4:$A$8,Lotes!$B$4:$B$8,0)</x:f>
        <x:v>17</x:v>
      </x:c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</x:row>
    <x:row r="11">
      <x:c r="A11" s="19" t="str">
        <x:v>Lote maior - base 8,5@</x:v>
      </x:c>
      <x:c r="B11" s="21" t="n">
        <x:v>320</x:v>
      </x:c>
      <x:c r="C11" s="23" t="n">
        <x:v>10.5</x:v>
      </x:c>
      <x:c r="D11" s="23" t="n">
        <x:f>XLOOKUP(A11,Lotes!$A$4:$A$8,Lotes!$C$4:$C$8,0)</x:f>
        <x:v>8.5</x:v>
      </x:c>
      <x:c r="E11" s="23" t="n">
        <x:f>MAX(0,(C11*Premissas!$B$5/Premissas!$B$4)-(D11*Premissas!$B$5/Premissas!$B$4))/SUMIFS('Cenários de GMD'!$C$4:$C$19,'Cenários de GMD'!$A$4:$A$19,"Econômica",'Cenários de GMD'!$B$4:$B$19,"Base")</x:f>
        <x:v>109.09090909090901</x:v>
      </x:c>
      <x:c r="F11" s="21" t="n">
        <x:f>(((D11*Premissas!$B$5/Premissas!$B$4)+(C11*Premissas!$B$5/Premissas!$B$4))/2)*(SUMIFS('Cenários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GMD'!$B$4:$B$19,"Base")*Insumos!$E$5)*E11</x:f>
        <x:v>253.98446280991715</x:v>
      </x:c>
      <x:c r="G11" s="21" t="n">
        <x:f>B11*C11</x:f>
        <x:v>3360</x:v>
      </x:c>
      <x:c r="H11" s="21" t="n">
        <x:f>G11-XLOOKUP(A11,Lotes!$A$4:$A$8,Lotes!$D$4:$D$8,Premissas!$B$9)-F11</x:f>
        <x:v>1156.0155371900828</x:v>
      </x:c>
      <x:c r="I11" s="21" t="n">
        <x:f>H11*O11</x:f>
        <x:v>19652.26413223141</x:v>
      </x:c>
      <x:c r="J11" s="20" t="n">
        <x:f>IF(G11=0,0,H11/G11)</x:f>
        <x:v>0.34405224321133415</x:v>
      </x:c>
      <x:c r="K11" s="20" t="n">
        <x:f>IFERROR(H11/(XLOOKUP(A11,Lotes!$A$4:$A$8,Lotes!$D$4:$D$8,Premissas!$B$9)+F11),0)</x:f>
        <x:v>0.5245116545496189</x:v>
      </x:c>
      <x:c r="L11" s="19" t="str">
        <x:f>IF(E11=0,"Venda imediata",IF(E11&lt;=60,"Baixo",IF(E11&lt;=120,"Médio","Alto")))</x:f>
        <x:v>Médio</x:v>
      </x:c>
      <x:c r="M11" s="19" t="str">
        <x:f>IF(H11&lt;0,"Não comprar/tratar",IF(L11="Alto","Só se preço/pasto compensar","Viável"))</x:f>
        <x:v>Viável</x:v>
      </x:c>
      <x:c r="N11" s="19" t="str">
        <x:f>IF(C11=12,"Testar margem incremental; não perseguir automaticamente","Comparar com giro e risco")</x:f>
        <x:v>Comparar com giro e risco</x:v>
      </x:c>
      <x:c r="O11" s="19" t="n">
        <x:f>XLOOKUP(A11,Lotes!$A$4:$A$8,Lotes!$B$4:$B$8,0)</x:f>
        <x:v>17</x:v>
      </x:c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</x:row>
    <x:row r="12">
      <x:c r="A12" s="19" t="str">
        <x:v>Lote maior - base 8,5@</x:v>
      </x:c>
      <x:c r="B12" s="21" t="n">
        <x:v>320</x:v>
      </x:c>
      <x:c r="C12" s="23" t="n">
        <x:v>11</x:v>
      </x:c>
      <x:c r="D12" s="23" t="n">
        <x:f>XLOOKUP(A12,Lotes!$A$4:$A$8,Lotes!$C$4:$C$8,0)</x:f>
        <x:v>8.5</x:v>
      </x:c>
      <x:c r="E12" s="23" t="n">
        <x:f>MAX(0,(C12*Premissas!$B$5/Premissas!$B$4)-(D12*Premissas!$B$5/Premissas!$B$4))/SUMIFS('Cenários de GMD'!$C$4:$C$19,'Cenários de GMD'!$A$4:$A$19,"Econômica",'Cenários de GMD'!$B$4:$B$19,"Base")</x:f>
        <x:v>136.36363636363637</x:v>
      </x:c>
      <x:c r="F12" s="21" t="n">
        <x:f>(((D12*Premissas!$B$5/Premissas!$B$4)+(C12*Premissas!$B$5/Premissas!$B$4))/2)*(SUMIFS('Cenários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GMD'!$B$4:$B$19,"Base")*Insumos!$E$5)*E12</x:f>
        <x:v>325.8353305785124</x:v>
      </x:c>
      <x:c r="G12" s="21" t="n">
        <x:f>B12*C12</x:f>
        <x:v>3520</x:v>
      </x:c>
      <x:c r="H12" s="21" t="n">
        <x:f>G12-XLOOKUP(A12,Lotes!$A$4:$A$8,Lotes!$D$4:$D$8,Premissas!$B$9)-F12</x:f>
        <x:v>1244.1646694214876</x:v>
      </x:c>
      <x:c r="I12" s="21" t="n">
        <x:f>H12*O12</x:f>
        <x:v>21150.79938016529</x:v>
      </x:c>
      <x:c r="J12" s="20" t="n">
        <x:f>IF(G12=0,0,H12/G12)</x:f>
        <x:v>0.35345587199474077</x:v>
      </x:c>
      <x:c r="K12" s="20" t="n">
        <x:f>IFERROR(H12/(XLOOKUP(A12,Lotes!$A$4:$A$8,Lotes!$D$4:$D$8,Premissas!$B$9)+F12),0)</x:f>
        <x:v>0.5466848381799327</x:v>
      </x:c>
      <x:c r="L12" s="19" t="str">
        <x:f>IF(E12=0,"Venda imediata",IF(E12&lt;=60,"Baixo",IF(E12&lt;=120,"Médio","Alto")))</x:f>
        <x:v>Alto</x:v>
      </x:c>
      <x:c r="M12" s="19" t="str">
        <x:f>IF(H12&lt;0,"Não comprar/tratar",IF(L12="Alto","Só se preço/pasto compensar","Viável"))</x:f>
        <x:v>Só se preço/pasto compensar</x:v>
      </x:c>
      <x:c r="N12" s="19" t="str">
        <x:f>IF(C12=12,"Testar margem incremental; não perseguir automaticamente","Comparar com giro e risco")</x:f>
        <x:v>Comparar com giro e risco</x:v>
      </x:c>
      <x:c r="O12" s="19" t="n">
        <x:f>XLOOKUP(A12,Lotes!$A$4:$A$8,Lotes!$B$4:$B$8,0)</x:f>
        <x:v>17</x:v>
      </x:c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</x:row>
    <x:row r="13">
      <x:c r="A13" s="19" t="str">
        <x:v>Lote maior - base 8,5@</x:v>
      </x:c>
      <x:c r="B13" s="21" t="n">
        <x:v>320</x:v>
      </x:c>
      <x:c r="C13" s="23" t="n">
        <x:v>12</x:v>
      </x:c>
      <x:c r="D13" s="23" t="n">
        <x:f>XLOOKUP(A13,Lotes!$A$4:$A$8,Lotes!$C$4:$C$8,0)</x:f>
        <x:v>8.5</x:v>
      </x:c>
      <x:c r="E13" s="23" t="n">
        <x:f>MAX(0,(C13*Premissas!$B$5/Premissas!$B$4)-(D13*Premissas!$B$5/Premissas!$B$4))/SUMIFS('Cenários de GMD'!$C$4:$C$19,'Cenários de GMD'!$A$4:$A$19,"Econômica",'Cenários de GMD'!$B$4:$B$19,"Base")</x:f>
        <x:v>190.90909090909088</x:v>
      </x:c>
      <x:c r="F13" s="21" t="n">
        <x:f>(((D13*Premissas!$B$5/Premissas!$B$4)+(C13*Premissas!$B$5/Premissas!$B$4))/2)*(SUMIFS('Cenários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GMD'!$B$4:$B$19,"Base")*Insumos!$E$5)*E13</x:f>
        <x:v>479.56276859504123</x:v>
      </x:c>
      <x:c r="G13" s="21" t="n">
        <x:f>B13*C13</x:f>
        <x:v>3840</x:v>
      </x:c>
      <x:c r="H13" s="21" t="n">
        <x:f>G13-XLOOKUP(A13,Lotes!$A$4:$A$8,Lotes!$D$4:$D$8,Premissas!$B$9)-F13</x:f>
        <x:v>1410.4372314049588</x:v>
      </x:c>
      <x:c r="I13" s="21" t="n">
        <x:f>H13*O13</x:f>
        <x:v>23977.432933884298</x:v>
      </x:c>
      <x:c r="J13" s="20" t="n">
        <x:f>IF(G13=0,0,H13/G13)</x:f>
        <x:v>0.36730136234504135</x:v>
      </x:c>
      <x:c r="K13" s="20" t="n">
        <x:f>IFERROR(H13/(XLOOKUP(A13,Lotes!$A$4:$A$8,Lotes!$D$4:$D$8,Premissas!$B$9)+F13),0)</x:f>
        <x:v>0.5805312995558379</x:v>
      </x:c>
      <x:c r="L13" s="19" t="str">
        <x:f>IF(E13=0,"Venda imediata",IF(E13&lt;=60,"Baixo",IF(E13&lt;=120,"Médio","Alto")))</x:f>
        <x:v>Alto</x:v>
      </x:c>
      <x:c r="M13" s="19" t="str">
        <x:f>IF(H13&lt;0,"Não comprar/tratar",IF(L13="Alto","Só se preço/pasto compensar","Viável"))</x:f>
        <x:v>Só se preço/pasto compensar</x:v>
      </x:c>
      <x:c r="N13" s="19" t="str">
        <x:f>IF(C13=12,"Testar margem incremental; não perseguir automaticamente","Comparar com giro e risco")</x:f>
        <x:v>Testar margem incremental; não perseguir automaticamente</x:v>
      </x:c>
      <x:c r="O13" s="19" t="n">
        <x:f>XLOOKUP(A13,Lotes!$A$4:$A$8,Lotes!$B$4:$B$8,0)</x:f>
        <x:v>17</x:v>
      </x:c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</x:row>
    <x:row r="14">
      <x:c r="A14" s="19" t="str">
        <x:v>Lote maior - base 8,5@</x:v>
      </x:c>
      <x:c r="B14" s="21" t="n">
        <x:v>330</x:v>
      </x:c>
      <x:c r="C14" s="23" t="n">
        <x:v>8.5</x:v>
      </x:c>
      <x:c r="D14" s="23" t="n">
        <x:f>XLOOKUP(A14,Lotes!$A$4:$A$8,Lotes!$C$4:$C$8,0)</x:f>
        <x:v>8.5</x:v>
      </x:c>
      <x:c r="E14" s="23" t="n">
        <x:f>MAX(0,(C14*Premissas!$B$5/Premissas!$B$4)-(D14*Premissas!$B$5/Premissas!$B$4))/SUMIFS('Cenários de GMD'!$C$4:$C$19,'Cenários de GMD'!$A$4:$A$19,"Econômica",'Cenários de GMD'!$B$4:$B$19,"Base")</x:f>
        <x:v>0</x:v>
      </x:c>
      <x:c r="F14" s="21" t="n">
        <x:f>(((D14*Premissas!$B$5/Premissas!$B$4)+(C14*Premissas!$B$5/Premissas!$B$4))/2)*(SUMIFS('Cenários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GMD'!$B$4:$B$19,"Base")*Insumos!$E$5)*E14</x:f>
        <x:v>0</x:v>
      </x:c>
      <x:c r="G14" s="21" t="n">
        <x:f>B14*C14</x:f>
        <x:v>2805</x:v>
      </x:c>
      <x:c r="H14" s="21" t="n">
        <x:f>G14-XLOOKUP(A14,Lotes!$A$4:$A$8,Lotes!$D$4:$D$8,Premissas!$B$9)-F14</x:f>
        <x:v>855</x:v>
      </x:c>
      <x:c r="I14" s="21" t="n">
        <x:f>H14*O14</x:f>
        <x:v>14535</x:v>
      </x:c>
      <x:c r="J14" s="20" t="n">
        <x:f>IF(G14=0,0,H14/G14)</x:f>
        <x:v>0.3048128342245989</x:v>
      </x:c>
      <x:c r="K14" s="20" t="n">
        <x:f>IFERROR(H14/(XLOOKUP(A14,Lotes!$A$4:$A$8,Lotes!$D$4:$D$8,Premissas!$B$9)+F14),0)</x:f>
        <x:v>0.43846153846153846</x:v>
      </x:c>
      <x:c r="L14" s="19" t="str">
        <x:f>IF(E14=0,"Venda imediata",IF(E14&lt;=60,"Baixo",IF(E14&lt;=120,"Médio","Alto")))</x:f>
        <x:v>Venda imediata</x:v>
      </x:c>
      <x:c r="M14" s="19" t="str">
        <x:f>IF(H14&lt;0,"Não comprar/tratar",IF(L14="Alto","Só se preço/pasto compensar","Viável"))</x:f>
        <x:v>Viável</x:v>
      </x:c>
      <x:c r="N14" s="19" t="str">
        <x:f>IF(C14=12,"Testar margem incremental; não perseguir automaticamente","Comparar com giro e risco")</x:f>
        <x:v>Comparar com giro e risco</x:v>
      </x:c>
      <x:c r="O14" s="19" t="n">
        <x:f>XLOOKUP(A14,Lotes!$A$4:$A$8,Lotes!$B$4:$B$8,0)</x:f>
        <x:v>17</x:v>
      </x:c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</x:row>
    <x:row r="15">
      <x:c r="A15" s="19" t="str">
        <x:v>Lote maior - base 8,5@</x:v>
      </x:c>
      <x:c r="B15" s="21" t="n">
        <x:v>330</x:v>
      </x:c>
      <x:c r="C15" s="23" t="n">
        <x:v>9</x:v>
      </x:c>
      <x:c r="D15" s="23" t="n">
        <x:f>XLOOKUP(A15,Lotes!$A$4:$A$8,Lotes!$C$4:$C$8,0)</x:f>
        <x:v>8.5</x:v>
      </x:c>
      <x:c r="E15" s="23" t="n">
        <x:f>MAX(0,(C15*Premissas!$B$5/Premissas!$B$4)-(D15*Premissas!$B$5/Premissas!$B$4))/SUMIFS('Cenários de GMD'!$C$4:$C$19,'Cenários de GMD'!$A$4:$A$19,"Econômica",'Cenários de GMD'!$B$4:$B$19,"Base")</x:f>
        <x:v>27.272727272727252</x:v>
      </x:c>
      <x:c r="F15" s="21" t="n">
        <x:f>(((D15*Premissas!$B$5/Premissas!$B$4)+(C15*Premissas!$B$5/Premissas!$B$4))/2)*(SUMIFS('Cenários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GMD'!$B$4:$B$19,"Base")*Insumos!$E$5)*E15</x:f>
        <x:v>58.48326446280987</x:v>
      </x:c>
      <x:c r="G15" s="21" t="n">
        <x:f>B15*C15</x:f>
        <x:v>2970</x:v>
      </x:c>
      <x:c r="H15" s="21" t="n">
        <x:f>G15-XLOOKUP(A15,Lotes!$A$4:$A$8,Lotes!$D$4:$D$8,Premissas!$B$9)-F15</x:f>
        <x:v>961.5167355371901</x:v>
      </x:c>
      <x:c r="I15" s="21" t="n">
        <x:f>H15*O15</x:f>
        <x:v>16345.784504132233</x:v>
      </x:c>
      <x:c r="J15" s="20" t="n">
        <x:f>IF(G15=0,0,H15/G15)</x:f>
        <x:v>0.3237430085983805</x:v>
      </x:c>
      <x:c r="K15" s="20" t="n">
        <x:f>IFERROR(H15/(XLOOKUP(A15,Lotes!$A$4:$A$8,Lotes!$D$4:$D$8,Premissas!$B$9)+F15),0)</x:f>
        <x:v>0.4787277805843993</x:v>
      </x:c>
      <x:c r="L15" s="19" t="str">
        <x:f>IF(E15=0,"Venda imediata",IF(E15&lt;=60,"Baixo",IF(E15&lt;=120,"Médio","Alto")))</x:f>
        <x:v>Baixo</x:v>
      </x:c>
      <x:c r="M15" s="19" t="str">
        <x:f>IF(H15&lt;0,"Não comprar/tratar",IF(L15="Alto","Só se preço/pasto compensar","Viável"))</x:f>
        <x:v>Viável</x:v>
      </x:c>
      <x:c r="N15" s="19" t="str">
        <x:f>IF(C15=12,"Testar margem incremental; não perseguir automaticamente","Comparar com giro e risco")</x:f>
        <x:v>Comparar com giro e risco</x:v>
      </x:c>
      <x:c r="O15" s="19" t="n">
        <x:f>XLOOKUP(A15,Lotes!$A$4:$A$8,Lotes!$B$4:$B$8,0)</x:f>
        <x:v>17</x:v>
      </x:c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</x:row>
    <x:row r="16">
      <x:c r="A16" s="19" t="str">
        <x:v>Lote maior - base 8,5@</x:v>
      </x:c>
      <x:c r="B16" s="21" t="n">
        <x:v>330</x:v>
      </x:c>
      <x:c r="C16" s="23" t="n">
        <x:v>10.5</x:v>
      </x:c>
      <x:c r="D16" s="23" t="n">
        <x:f>XLOOKUP(A16,Lotes!$A$4:$A$8,Lotes!$C$4:$C$8,0)</x:f>
        <x:v>8.5</x:v>
      </x:c>
      <x:c r="E16" s="23" t="n">
        <x:f>MAX(0,(C16*Premissas!$B$5/Premissas!$B$4)-(D16*Premissas!$B$5/Premissas!$B$4))/SUMIFS('Cenários de GMD'!$C$4:$C$19,'Cenários de GMD'!$A$4:$A$19,"Econômica",'Cenários de GMD'!$B$4:$B$19,"Base")</x:f>
        <x:v>109.09090909090901</x:v>
      </x:c>
      <x:c r="F16" s="21" t="n">
        <x:f>(((D16*Premissas!$B$5/Premissas!$B$4)+(C16*Premissas!$B$5/Premissas!$B$4))/2)*(SUMIFS('Cenários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GMD'!$B$4:$B$19,"Base")*Insumos!$E$5)*E16</x:f>
        <x:v>253.98446280991715</x:v>
      </x:c>
      <x:c r="G16" s="21" t="n">
        <x:f>B16*C16</x:f>
        <x:v>3465</x:v>
      </x:c>
      <x:c r="H16" s="21" t="n">
        <x:f>G16-XLOOKUP(A16,Lotes!$A$4:$A$8,Lotes!$D$4:$D$8,Premissas!$B$9)-F16</x:f>
        <x:v>1261.0155371900828</x:v>
      </x:c>
      <x:c r="I16" s="21" t="n">
        <x:f>H16*O16</x:f>
        <x:v>21437.26413223141</x:v>
      </x:c>
      <x:c r="J16" s="20" t="n">
        <x:f>IF(G16=0,0,H16/G16)</x:f>
        <x:v>0.36392944796250587</x:v>
      </x:c>
      <x:c r="K16" s="20" t="n">
        <x:f>IFERROR(H16/(XLOOKUP(A16,Lotes!$A$4:$A$8,Lotes!$D$4:$D$8,Premissas!$B$9)+F16),0)</x:f>
        <x:v>0.5721526437542945</x:v>
      </x:c>
      <x:c r="L16" s="19" t="str">
        <x:f>IF(E16=0,"Venda imediata",IF(E16&lt;=60,"Baixo",IF(E16&lt;=120,"Médio","Alto")))</x:f>
        <x:v>Médio</x:v>
      </x:c>
      <x:c r="M16" s="19" t="str">
        <x:f>IF(H16&lt;0,"Não comprar/tratar",IF(L16="Alto","Só se preço/pasto compensar","Viável"))</x:f>
        <x:v>Viável</x:v>
      </x:c>
      <x:c r="N16" s="19" t="str">
        <x:f>IF(C16=12,"Testar margem incremental; não perseguir automaticamente","Comparar com giro e risco")</x:f>
        <x:v>Comparar com giro e risco</x:v>
      </x:c>
      <x:c r="O16" s="19" t="n">
        <x:f>XLOOKUP(A16,Lotes!$A$4:$A$8,Lotes!$B$4:$B$8,0)</x:f>
        <x:v>17</x:v>
      </x:c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</x:row>
    <x:row r="17">
      <x:c r="A17" s="19" t="str">
        <x:v>Lote maior - base 8,5@</x:v>
      </x:c>
      <x:c r="B17" s="21" t="n">
        <x:v>330</x:v>
      </x:c>
      <x:c r="C17" s="23" t="n">
        <x:v>11</x:v>
      </x:c>
      <x:c r="D17" s="23" t="n">
        <x:f>XLOOKUP(A17,Lotes!$A$4:$A$8,Lotes!$C$4:$C$8,0)</x:f>
        <x:v>8.5</x:v>
      </x:c>
      <x:c r="E17" s="23" t="n">
        <x:f>MAX(0,(C17*Premissas!$B$5/Premissas!$B$4)-(D17*Premissas!$B$5/Premissas!$B$4))/SUMIFS('Cenários de GMD'!$C$4:$C$19,'Cenários de GMD'!$A$4:$A$19,"Econômica",'Cenários de GMD'!$B$4:$B$19,"Base")</x:f>
        <x:v>136.36363636363637</x:v>
      </x:c>
      <x:c r="F17" s="21" t="n">
        <x:f>(((D17*Premissas!$B$5/Premissas!$B$4)+(C17*Premissas!$B$5/Premissas!$B$4))/2)*(SUMIFS('Cenários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GMD'!$B$4:$B$19,"Base")*Insumos!$E$5)*E17</x:f>
        <x:v>325.8353305785124</x:v>
      </x:c>
      <x:c r="G17" s="21" t="n">
        <x:f>B17*C17</x:f>
        <x:v>3630</x:v>
      </x:c>
      <x:c r="H17" s="21" t="n">
        <x:f>G17-XLOOKUP(A17,Lotes!$A$4:$A$8,Lotes!$D$4:$D$8,Premissas!$B$9)-F17</x:f>
        <x:v>1354.1646694214876</x:v>
      </x:c>
      <x:c r="I17" s="21" t="n">
        <x:f>H17*O17</x:f>
        <x:v>23020.79938016529</x:v>
      </x:c>
      <x:c r="J17" s="20" t="n">
        <x:f>IF(G17=0,0,H17/G17)</x:f>
        <x:v>0.37304811829793044</x:v>
      </x:c>
      <x:c r="K17" s="20" t="n">
        <x:f>IFERROR(H17/(XLOOKUP(A17,Lotes!$A$4:$A$8,Lotes!$D$4:$D$8,Premissas!$B$9)+F17),0)</x:f>
        <x:v>0.5950187393730556</x:v>
      </x:c>
      <x:c r="L17" s="19" t="str">
        <x:f>IF(E17=0,"Venda imediata",IF(E17&lt;=60,"Baixo",IF(E17&lt;=120,"Médio","Alto")))</x:f>
        <x:v>Alto</x:v>
      </x:c>
      <x:c r="M17" s="19" t="str">
        <x:f>IF(H17&lt;0,"Não comprar/tratar",IF(L17="Alto","Só se preço/pasto compensar","Viável"))</x:f>
        <x:v>Só se preço/pasto compensar</x:v>
      </x:c>
      <x:c r="N17" s="19" t="str">
        <x:f>IF(C17=12,"Testar margem incremental; não perseguir automaticamente","Comparar com giro e risco")</x:f>
        <x:v>Comparar com giro e risco</x:v>
      </x:c>
      <x:c r="O17" s="19" t="n">
        <x:f>XLOOKUP(A17,Lotes!$A$4:$A$8,Lotes!$B$4:$B$8,0)</x:f>
        <x:v>17</x:v>
      </x:c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</x:row>
    <x:row r="18">
      <x:c r="A18" s="19" t="str">
        <x:v>Lote maior - base 8,5@</x:v>
      </x:c>
      <x:c r="B18" s="21" t="n">
        <x:v>330</x:v>
      </x:c>
      <x:c r="C18" s="23" t="n">
        <x:v>12</x:v>
      </x:c>
      <x:c r="D18" s="23" t="n">
        <x:f>XLOOKUP(A18,Lotes!$A$4:$A$8,Lotes!$C$4:$C$8,0)</x:f>
        <x:v>8.5</x:v>
      </x:c>
      <x:c r="E18" s="23" t="n">
        <x:f>MAX(0,(C18*Premissas!$B$5/Premissas!$B$4)-(D18*Premissas!$B$5/Premissas!$B$4))/SUMIFS('Cenários de GMD'!$C$4:$C$19,'Cenários de GMD'!$A$4:$A$19,"Econômica",'Cenários de GMD'!$B$4:$B$19,"Base")</x:f>
        <x:v>190.90909090909088</x:v>
      </x:c>
      <x:c r="F18" s="21" t="n">
        <x:f>(((D18*Premissas!$B$5/Premissas!$B$4)+(C18*Premissas!$B$5/Premissas!$B$4))/2)*(SUMIFS('Cenários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GMD'!$B$4:$B$19,"Base")*Insumos!$E$5)*E18</x:f>
        <x:v>479.56276859504123</x:v>
      </x:c>
      <x:c r="G18" s="21" t="n">
        <x:f>B18*C18</x:f>
        <x:v>3960</x:v>
      </x:c>
      <x:c r="H18" s="21" t="n">
        <x:f>G18-XLOOKUP(A18,Lotes!$A$4:$A$8,Lotes!$D$4:$D$8,Premissas!$B$9)-F18</x:f>
        <x:v>1530.4372314049588</x:v>
      </x:c>
      <x:c r="I18" s="21" t="n">
        <x:f>H18*O18</x:f>
        <x:v>26017.432933884298</x:v>
      </x:c>
      <x:c r="J18" s="20" t="n">
        <x:f>IF(G18=0,0,H18/G18)</x:f>
        <x:v>0.38647404833458554</x:v>
      </x:c>
      <x:c r="K18" s="20" t="n">
        <x:f>IFERROR(H18/(XLOOKUP(A18,Lotes!$A$4:$A$8,Lotes!$D$4:$D$8,Premissas!$B$9)+F18),0)</x:f>
        <x:v>0.6299229026669578</x:v>
      </x:c>
      <x:c r="L18" s="19" t="str">
        <x:f>IF(E18=0,"Venda imediata",IF(E18&lt;=60,"Baixo",IF(E18&lt;=120,"Médio","Alto")))</x:f>
        <x:v>Alto</x:v>
      </x:c>
      <x:c r="M18" s="19" t="str">
        <x:f>IF(H18&lt;0,"Não comprar/tratar",IF(L18="Alto","Só se preço/pasto compensar","Viável"))</x:f>
        <x:v>Só se preço/pasto compensar</x:v>
      </x:c>
      <x:c r="N18" s="19" t="str">
        <x:f>IF(C18=12,"Testar margem incremental; não perseguir automaticamente","Comparar com giro e risco")</x:f>
        <x:v>Testar margem incremental; não perseguir automaticamente</x:v>
      </x:c>
      <x:c r="O18" s="19" t="n">
        <x:f>XLOOKUP(A18,Lotes!$A$4:$A$8,Lotes!$B$4:$B$8,0)</x:f>
        <x:v>17</x:v>
      </x:c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</x:row>
    <x:row r="19">
      <x:c r="A19" s="19" t="str">
        <x:v>Lote maior - base 8,5@</x:v>
      </x:c>
      <x:c r="B19" s="21" t="n">
        <x:v>350</x:v>
      </x:c>
      <x:c r="C19" s="23" t="n">
        <x:v>8.5</x:v>
      </x:c>
      <x:c r="D19" s="23" t="n">
        <x:f>XLOOKUP(A19,Lotes!$A$4:$A$8,Lotes!$C$4:$C$8,0)</x:f>
        <x:v>8.5</x:v>
      </x:c>
      <x:c r="E19" s="23" t="n">
        <x:f>MAX(0,(C19*Premissas!$B$5/Premissas!$B$4)-(D19*Premissas!$B$5/Premissas!$B$4))/SUMIFS('Cenários de GMD'!$C$4:$C$19,'Cenários de GMD'!$A$4:$A$19,"Econômica",'Cenários de GMD'!$B$4:$B$19,"Base")</x:f>
        <x:v>0</x:v>
      </x:c>
      <x:c r="F19" s="21" t="n">
        <x:f>(((D19*Premissas!$B$5/Premissas!$B$4)+(C19*Premissas!$B$5/Premissas!$B$4))/2)*(SUMIFS('Cenários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GMD'!$B$4:$B$19,"Base")*Insumos!$E$5)*E19</x:f>
        <x:v>0</x:v>
      </x:c>
      <x:c r="G19" s="21" t="n">
        <x:f>B19*C19</x:f>
        <x:v>2975</x:v>
      </x:c>
      <x:c r="H19" s="21" t="n">
        <x:f>G19-XLOOKUP(A19,Lotes!$A$4:$A$8,Lotes!$D$4:$D$8,Premissas!$B$9)-F19</x:f>
        <x:v>1025</x:v>
      </x:c>
      <x:c r="I19" s="21" t="n">
        <x:f>H19*O19</x:f>
        <x:v>17425</x:v>
      </x:c>
      <x:c r="J19" s="20" t="n">
        <x:f>IF(G19=0,0,H19/G19)</x:f>
        <x:v>0.3445378151260504</x:v>
      </x:c>
      <x:c r="K19" s="20" t="n">
        <x:f>IFERROR(H19/(XLOOKUP(A19,Lotes!$A$4:$A$8,Lotes!$D$4:$D$8,Premissas!$B$9)+F19),0)</x:f>
        <x:v>0.5256410256410257</x:v>
      </x:c>
      <x:c r="L19" s="19" t="str">
        <x:f>IF(E19=0,"Venda imediata",IF(E19&lt;=60,"Baixo",IF(E19&lt;=120,"Médio","Alto")))</x:f>
        <x:v>Venda imediata</x:v>
      </x:c>
      <x:c r="M19" s="19" t="str">
        <x:f>IF(H19&lt;0,"Não comprar/tratar",IF(L19="Alto","Só se preço/pasto compensar","Viável"))</x:f>
        <x:v>Viável</x:v>
      </x:c>
      <x:c r="N19" s="19" t="str">
        <x:f>IF(C19=12,"Testar margem incremental; não perseguir automaticamente","Comparar com giro e risco")</x:f>
        <x:v>Comparar com giro e risco</x:v>
      </x:c>
      <x:c r="O19" s="19" t="n">
        <x:f>XLOOKUP(A19,Lotes!$A$4:$A$8,Lotes!$B$4:$B$8,0)</x:f>
        <x:v>17</x:v>
      </x:c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</x:row>
    <x:row r="20">
      <x:c r="A20" s="19" t="str">
        <x:v>Lote maior - base 8,5@</x:v>
      </x:c>
      <x:c r="B20" s="21" t="n">
        <x:v>350</x:v>
      </x:c>
      <x:c r="C20" s="23" t="n">
        <x:v>9</x:v>
      </x:c>
      <x:c r="D20" s="23" t="n">
        <x:f>XLOOKUP(A20,Lotes!$A$4:$A$8,Lotes!$C$4:$C$8,0)</x:f>
        <x:v>8.5</x:v>
      </x:c>
      <x:c r="E20" s="23" t="n">
        <x:f>MAX(0,(C20*Premissas!$B$5/Premissas!$B$4)-(D20*Premissas!$B$5/Premissas!$B$4))/SUMIFS('Cenários de GMD'!$C$4:$C$19,'Cenários de GMD'!$A$4:$A$19,"Econômica",'Cenários de GMD'!$B$4:$B$19,"Base")</x:f>
        <x:v>27.272727272727252</x:v>
      </x:c>
      <x:c r="F20" s="21" t="n">
        <x:f>(((D20*Premissas!$B$5/Premissas!$B$4)+(C20*Premissas!$B$5/Premissas!$B$4))/2)*(SUMIFS('Cenários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GMD'!$B$4:$B$19,"Base")*Insumos!$E$5)*E20</x:f>
        <x:v>58.48326446280987</x:v>
      </x:c>
      <x:c r="G20" s="21" t="n">
        <x:f>B20*C20</x:f>
        <x:v>3150</x:v>
      </x:c>
      <x:c r="H20" s="21" t="n">
        <x:f>G20-XLOOKUP(A20,Lotes!$A$4:$A$8,Lotes!$D$4:$D$8,Premissas!$B$9)-F20</x:f>
        <x:v>1141.51673553719</x:v>
      </x:c>
      <x:c r="I20" s="21" t="n">
        <x:f>H20*O20</x:f>
        <x:v>19405.78450413223</x:v>
      </x:c>
      <x:c r="J20" s="20" t="n">
        <x:f>IF(G20=0,0,H20/G20)</x:f>
        <x:v>0.3623862652499016</x:v>
      </x:c>
      <x:c r="K20" s="20" t="n">
        <x:f>IFERROR(H20/(XLOOKUP(A20,Lotes!$A$4:$A$8,Lotes!$D$4:$D$8,Premissas!$B$9)+F20),0)</x:f>
        <x:v>0.5683476460743628</x:v>
      </x:c>
      <x:c r="L20" s="19" t="str">
        <x:f>IF(E20=0,"Venda imediata",IF(E20&lt;=60,"Baixo",IF(E20&lt;=120,"Médio","Alto")))</x:f>
        <x:v>Baixo</x:v>
      </x:c>
      <x:c r="M20" s="19" t="str">
        <x:f>IF(H20&lt;0,"Não comprar/tratar",IF(L20="Alto","Só se preço/pasto compensar","Viável"))</x:f>
        <x:v>Viável</x:v>
      </x:c>
      <x:c r="N20" s="19" t="str">
        <x:f>IF(C20=12,"Testar margem incremental; não perseguir automaticamente","Comparar com giro e risco")</x:f>
        <x:v>Comparar com giro e risco</x:v>
      </x:c>
      <x:c r="O20" s="19" t="n">
        <x:f>XLOOKUP(A20,Lotes!$A$4:$A$8,Lotes!$B$4:$B$8,0)</x:f>
        <x:v>17</x:v>
      </x:c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</x:row>
    <x:row r="21">
      <x:c r="A21" s="19" t="str">
        <x:v>Lote maior - base 8,5@</x:v>
      </x:c>
      <x:c r="B21" s="21" t="n">
        <x:v>350</x:v>
      </x:c>
      <x:c r="C21" s="23" t="n">
        <x:v>10.5</x:v>
      </x:c>
      <x:c r="D21" s="23" t="n">
        <x:f>XLOOKUP(A21,Lotes!$A$4:$A$8,Lotes!$C$4:$C$8,0)</x:f>
        <x:v>8.5</x:v>
      </x:c>
      <x:c r="E21" s="23" t="n">
        <x:f>MAX(0,(C21*Premissas!$B$5/Premissas!$B$4)-(D21*Premissas!$B$5/Premissas!$B$4))/SUMIFS('Cenários de GMD'!$C$4:$C$19,'Cenários de GMD'!$A$4:$A$19,"Econômica",'Cenários de GMD'!$B$4:$B$19,"Base")</x:f>
        <x:v>109.09090909090901</x:v>
      </x:c>
      <x:c r="F21" s="21" t="n">
        <x:f>(((D21*Premissas!$B$5/Premissas!$B$4)+(C21*Premissas!$B$5/Premissas!$B$4))/2)*(SUMIFS('Cenários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GMD'!$B$4:$B$19,"Base")*Insumos!$E$5)*E21</x:f>
        <x:v>253.98446280991715</x:v>
      </x:c>
      <x:c r="G21" s="21" t="n">
        <x:f>B21*C21</x:f>
        <x:v>3675</x:v>
      </x:c>
      <x:c r="H21" s="21" t="n">
        <x:f>G21-XLOOKUP(A21,Lotes!$A$4:$A$8,Lotes!$D$4:$D$8,Premissas!$B$9)-F21</x:f>
        <x:v>1471.0155371900828</x:v>
      </x:c>
      <x:c r="I21" s="21" t="n">
        <x:f>H21*O21</x:f>
        <x:v>25007.26413223141</x:v>
      </x:c>
      <x:c r="J21" s="20" t="n">
        <x:f>IF(G21=0,0,H21/G21)</x:f>
        <x:v>0.40027633665036266</x:v>
      </x:c>
      <x:c r="K21" s="20" t="n">
        <x:f>IFERROR(H21/(XLOOKUP(A21,Lotes!$A$4:$A$8,Lotes!$D$4:$D$8,Premissas!$B$9)+F21),0)</x:f>
        <x:v>0.6674346221636457</x:v>
      </x:c>
      <x:c r="L21" s="19" t="str">
        <x:f>IF(E21=0,"Venda imediata",IF(E21&lt;=60,"Baixo",IF(E21&lt;=120,"Médio","Alto")))</x:f>
        <x:v>Médio</x:v>
      </x:c>
      <x:c r="M21" s="19" t="str">
        <x:f>IF(H21&lt;0,"Não comprar/tratar",IF(L21="Alto","Só se preço/pasto compensar","Viável"))</x:f>
        <x:v>Viável</x:v>
      </x:c>
      <x:c r="N21" s="19" t="str">
        <x:f>IF(C21=12,"Testar margem incremental; não perseguir automaticamente","Comparar com giro e risco")</x:f>
        <x:v>Comparar com giro e risco</x:v>
      </x:c>
      <x:c r="O21" s="19" t="n">
        <x:f>XLOOKUP(A21,Lotes!$A$4:$A$8,Lotes!$B$4:$B$8,0)</x:f>
        <x:v>17</x:v>
      </x:c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</x:row>
    <x:row r="22">
      <x:c r="A22" s="19" t="str">
        <x:v>Lote maior - base 8,5@</x:v>
      </x:c>
      <x:c r="B22" s="21" t="n">
        <x:v>350</x:v>
      </x:c>
      <x:c r="C22" s="23" t="n">
        <x:v>11</x:v>
      </x:c>
      <x:c r="D22" s="23" t="n">
        <x:f>XLOOKUP(A22,Lotes!$A$4:$A$8,Lotes!$C$4:$C$8,0)</x:f>
        <x:v>8.5</x:v>
      </x:c>
      <x:c r="E22" s="23" t="n">
        <x:f>MAX(0,(C22*Premissas!$B$5/Premissas!$B$4)-(D22*Premissas!$B$5/Premissas!$B$4))/SUMIFS('Cenários de GMD'!$C$4:$C$19,'Cenários de GMD'!$A$4:$A$19,"Econômica",'Cenários de GMD'!$B$4:$B$19,"Base")</x:f>
        <x:v>136.36363636363637</x:v>
      </x:c>
      <x:c r="F22" s="21" t="n">
        <x:f>(((D22*Premissas!$B$5/Premissas!$B$4)+(C22*Premissas!$B$5/Premissas!$B$4))/2)*(SUMIFS('Cenários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GMD'!$B$4:$B$19,"Base")*Insumos!$E$5)*E22</x:f>
        <x:v>325.8353305785124</x:v>
      </x:c>
      <x:c r="G22" s="21" t="n">
        <x:f>B22*C22</x:f>
        <x:v>3850</x:v>
      </x:c>
      <x:c r="H22" s="21" t="n">
        <x:f>G22-XLOOKUP(A22,Lotes!$A$4:$A$8,Lotes!$D$4:$D$8,Premissas!$B$9)-F22</x:f>
        <x:v>1574.1646694214876</x:v>
      </x:c>
      <x:c r="I22" s="21" t="n">
        <x:f>H22*O22</x:f>
        <x:v>26760.79938016529</x:v>
      </x:c>
      <x:c r="J22" s="20" t="n">
        <x:f>IF(G22=0,0,H22/G22)</x:f>
        <x:v>0.4088739401094773</x:v>
      </x:c>
      <x:c r="K22" s="20" t="n">
        <x:f>IFERROR(H22/(XLOOKUP(A22,Lotes!$A$4:$A$8,Lotes!$D$4:$D$8,Premissas!$B$9)+F22),0)</x:f>
        <x:v>0.6916865417593014</x:v>
      </x:c>
      <x:c r="L22" s="19" t="str">
        <x:f>IF(E22=0,"Venda imediata",IF(E22&lt;=60,"Baixo",IF(E22&lt;=120,"Médio","Alto")))</x:f>
        <x:v>Alto</x:v>
      </x:c>
      <x:c r="M22" s="19" t="str">
        <x:f>IF(H22&lt;0,"Não comprar/tratar",IF(L22="Alto","Só se preço/pasto compensar","Viável"))</x:f>
        <x:v>Só se preço/pasto compensar</x:v>
      </x:c>
      <x:c r="N22" s="19" t="str">
        <x:f>IF(C22=12,"Testar margem incremental; não perseguir automaticamente","Comparar com giro e risco")</x:f>
        <x:v>Comparar com giro e risco</x:v>
      </x:c>
      <x:c r="O22" s="19" t="n">
        <x:f>XLOOKUP(A22,Lotes!$A$4:$A$8,Lotes!$B$4:$B$8,0)</x:f>
        <x:v>17</x:v>
      </x:c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</x:row>
    <x:row r="23">
      <x:c r="A23" s="19" t="str">
        <x:v>Lote maior - base 8,5@</x:v>
      </x:c>
      <x:c r="B23" s="21" t="n">
        <x:v>350</x:v>
      </x:c>
      <x:c r="C23" s="23" t="n">
        <x:v>12</x:v>
      </x:c>
      <x:c r="D23" s="23" t="n">
        <x:f>XLOOKUP(A23,Lotes!$A$4:$A$8,Lotes!$C$4:$C$8,0)</x:f>
        <x:v>8.5</x:v>
      </x:c>
      <x:c r="E23" s="23" t="n">
        <x:f>MAX(0,(C23*Premissas!$B$5/Premissas!$B$4)-(D23*Premissas!$B$5/Premissas!$B$4))/SUMIFS('Cenários de GMD'!$C$4:$C$19,'Cenários de GMD'!$A$4:$A$19,"Econômica",'Cenários de GMD'!$B$4:$B$19,"Base")</x:f>
        <x:v>190.90909090909088</x:v>
      </x:c>
      <x:c r="F23" s="21" t="n">
        <x:f>(((D23*Premissas!$B$5/Premissas!$B$4)+(C23*Premissas!$B$5/Premissas!$B$4))/2)*(SUMIFS('Cenários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GMD'!$B$4:$B$19,"Base")*Insumos!$E$5)*E23</x:f>
        <x:v>479.56276859504123</x:v>
      </x:c>
      <x:c r="G23" s="21" t="n">
        <x:f>B23*C23</x:f>
        <x:v>4200</x:v>
      </x:c>
      <x:c r="H23" s="21" t="n">
        <x:f>G23-XLOOKUP(A23,Lotes!$A$4:$A$8,Lotes!$D$4:$D$8,Premissas!$B$9)-F23</x:f>
        <x:v>1770.4372314049588</x:v>
      </x:c>
      <x:c r="I23" s="21" t="n">
        <x:f>H23*O23</x:f>
        <x:v>30097.432933884298</x:v>
      </x:c>
      <x:c r="J23" s="20" t="n">
        <x:f>IF(G23=0,0,H23/G23)</x:f>
        <x:v>0.4215326741440378</x:v>
      </x:c>
      <x:c r="K23" s="20" t="n">
        <x:f>IFERROR(H23/(XLOOKUP(A23,Lotes!$A$4:$A$8,Lotes!$D$4:$D$8,Premissas!$B$9)+F23),0)</x:f>
        <x:v>0.7287061088891977</x:v>
      </x:c>
      <x:c r="L23" s="19" t="str">
        <x:f>IF(E23=0,"Venda imediata",IF(E23&lt;=60,"Baixo",IF(E23&lt;=120,"Médio","Alto")))</x:f>
        <x:v>Alto</x:v>
      </x:c>
      <x:c r="M23" s="19" t="str">
        <x:f>IF(H23&lt;0,"Não comprar/tratar",IF(L23="Alto","Só se preço/pasto compensar","Viável"))</x:f>
        <x:v>Só se preço/pasto compensar</x:v>
      </x:c>
      <x:c r="N23" s="19" t="str">
        <x:f>IF(C23=12,"Testar margem incremental; não perseguir automaticamente","Comparar com giro e risco")</x:f>
        <x:v>Testar margem incremental; não perseguir automaticamente</x:v>
      </x:c>
      <x:c r="O23" s="19" t="n">
        <x:f>XLOOKUP(A23,Lotes!$A$4:$A$8,Lotes!$B$4:$B$8,0)</x:f>
        <x:v>17</x:v>
      </x:c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</x:row>
    <x:row r="24">
      <x:c r="A24" s="19" t="str">
        <x:v>Lote maior - base 8,5@</x:v>
      </x:c>
      <x:c r="B24" s="21" t="n">
        <x:v>370</x:v>
      </x:c>
      <x:c r="C24" s="23" t="n">
        <x:v>8.5</x:v>
      </x:c>
      <x:c r="D24" s="23" t="n">
        <x:f>XLOOKUP(A24,Lotes!$A$4:$A$8,Lotes!$C$4:$C$8,0)</x:f>
        <x:v>8.5</x:v>
      </x:c>
      <x:c r="E24" s="23" t="n">
        <x:f>MAX(0,(C24*Premissas!$B$5/Premissas!$B$4)-(D24*Premissas!$B$5/Premissas!$B$4))/SUMIFS('Cenários de GMD'!$C$4:$C$19,'Cenários de GMD'!$A$4:$A$19,"Econômica",'Cenários de GMD'!$B$4:$B$19,"Base")</x:f>
        <x:v>0</x:v>
      </x:c>
      <x:c r="F24" s="21" t="n">
        <x:f>(((D24*Premissas!$B$5/Premissas!$B$4)+(C24*Premissas!$B$5/Premissas!$B$4))/2)*(SUMIFS('Cenários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GMD'!$B$4:$B$19,"Base")*Insumos!$E$5)*E24</x:f>
        <x:v>0</x:v>
      </x:c>
      <x:c r="G24" s="21" t="n">
        <x:f>B24*C24</x:f>
        <x:v>3145</x:v>
      </x:c>
      <x:c r="H24" s="21" t="n">
        <x:f>G24-XLOOKUP(A24,Lotes!$A$4:$A$8,Lotes!$D$4:$D$8,Premissas!$B$9)-F24</x:f>
        <x:v>1195</x:v>
      </x:c>
      <x:c r="I24" s="21" t="n">
        <x:f>H24*O24</x:f>
        <x:v>20315</x:v>
      </x:c>
      <x:c r="J24" s="20" t="n">
        <x:f>IF(G24=0,0,H24/G24)</x:f>
        <x:v>0.3799682034976153</x:v>
      </x:c>
      <x:c r="K24" s="20" t="n">
        <x:f>IFERROR(H24/(XLOOKUP(A24,Lotes!$A$4:$A$8,Lotes!$D$4:$D$8,Premissas!$B$9)+F24),0)</x:f>
        <x:v>0.6128205128205129</x:v>
      </x:c>
      <x:c r="L24" s="19" t="str">
        <x:f>IF(E24=0,"Venda imediata",IF(E24&lt;=60,"Baixo",IF(E24&lt;=120,"Médio","Alto")))</x:f>
        <x:v>Venda imediata</x:v>
      </x:c>
      <x:c r="M24" s="19" t="str">
        <x:f>IF(H24&lt;0,"Não comprar/tratar",IF(L24="Alto","Só se preço/pasto compensar","Viável"))</x:f>
        <x:v>Viável</x:v>
      </x:c>
      <x:c r="N24" s="19" t="str">
        <x:f>IF(C24=12,"Testar margem incremental; não perseguir automaticamente","Comparar com giro e risco")</x:f>
        <x:v>Comparar com giro e risco</x:v>
      </x:c>
      <x:c r="O24" s="19" t="n">
        <x:f>XLOOKUP(A24,Lotes!$A$4:$A$8,Lotes!$B$4:$B$8,0)</x:f>
        <x:v>17</x:v>
      </x:c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</x:row>
    <x:row r="25">
      <x:c r="A25" s="19" t="str">
        <x:v>Lote maior - base 8,5@</x:v>
      </x:c>
      <x:c r="B25" s="21" t="n">
        <x:v>370</x:v>
      </x:c>
      <x:c r="C25" s="23" t="n">
        <x:v>9</x:v>
      </x:c>
      <x:c r="D25" s="23" t="n">
        <x:f>XLOOKUP(A25,Lotes!$A$4:$A$8,Lotes!$C$4:$C$8,0)</x:f>
        <x:v>8.5</x:v>
      </x:c>
      <x:c r="E25" s="23" t="n">
        <x:f>MAX(0,(C25*Premissas!$B$5/Premissas!$B$4)-(D25*Premissas!$B$5/Premissas!$B$4))/SUMIFS('Cenários de GMD'!$C$4:$C$19,'Cenários de GMD'!$A$4:$A$19,"Econômica",'Cenários de GMD'!$B$4:$B$19,"Base")</x:f>
        <x:v>27.272727272727252</x:v>
      </x:c>
      <x:c r="F25" s="21" t="n">
        <x:f>(((D25*Premissas!$B$5/Premissas!$B$4)+(C25*Premissas!$B$5/Premissas!$B$4))/2)*(SUMIFS('Cenários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GMD'!$B$4:$B$19,"Base")*Insumos!$E$5)*E25</x:f>
        <x:v>58.48326446280987</x:v>
      </x:c>
      <x:c r="G25" s="21" t="n">
        <x:f>B25*C25</x:f>
        <x:v>3330</x:v>
      </x:c>
      <x:c r="H25" s="21" t="n">
        <x:f>G25-XLOOKUP(A25,Lotes!$A$4:$A$8,Lotes!$D$4:$D$8,Premissas!$B$9)-F25</x:f>
        <x:v>1321.51673553719</x:v>
      </x:c>
      <x:c r="I25" s="21" t="n">
        <x:f>H25*O25</x:f>
        <x:v>22465.78450413223</x:v>
      </x:c>
      <x:c r="J25" s="20" t="n">
        <x:f>IF(G25=0,0,H25/G25)</x:f>
        <x:v>0.3968518725336907</x:v>
      </x:c>
      <x:c r="K25" s="20" t="n">
        <x:f>IFERROR(H25/(XLOOKUP(A25,Lotes!$A$4:$A$8,Lotes!$D$4:$D$8,Premissas!$B$9)+F25),0)</x:f>
        <x:v>0.6579675115643264</x:v>
      </x:c>
      <x:c r="L25" s="19" t="str">
        <x:f>IF(E25=0,"Venda imediata",IF(E25&lt;=60,"Baixo",IF(E25&lt;=120,"Médio","Alto")))</x:f>
        <x:v>Baixo</x:v>
      </x:c>
      <x:c r="M25" s="19" t="str">
        <x:f>IF(H25&lt;0,"Não comprar/tratar",IF(L25="Alto","Só se preço/pasto compensar","Viável"))</x:f>
        <x:v>Viável</x:v>
      </x:c>
      <x:c r="N25" s="19" t="str">
        <x:f>IF(C25=12,"Testar margem incremental; não perseguir automaticamente","Comparar com giro e risco")</x:f>
        <x:v>Comparar com giro e risco</x:v>
      </x:c>
      <x:c r="O25" s="19" t="n">
        <x:f>XLOOKUP(A25,Lotes!$A$4:$A$8,Lotes!$B$4:$B$8,0)</x:f>
        <x:v>17</x:v>
      </x:c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  <x:c r="AA25" s="17"/>
      <x:c r="AB25" s="17"/>
    </x:row>
    <x:row r="26">
      <x:c r="A26" s="19" t="str">
        <x:v>Lote maior - base 8,5@</x:v>
      </x:c>
      <x:c r="B26" s="21" t="n">
        <x:v>370</x:v>
      </x:c>
      <x:c r="C26" s="23" t="n">
        <x:v>10.5</x:v>
      </x:c>
      <x:c r="D26" s="23" t="n">
        <x:f>XLOOKUP(A26,Lotes!$A$4:$A$8,Lotes!$C$4:$C$8,0)</x:f>
        <x:v>8.5</x:v>
      </x:c>
      <x:c r="E26" s="23" t="n">
        <x:f>MAX(0,(C26*Premissas!$B$5/Premissas!$B$4)-(D26*Premissas!$B$5/Premissas!$B$4))/SUMIFS('Cenários de GMD'!$C$4:$C$19,'Cenários de GMD'!$A$4:$A$19,"Econômica",'Cenários de GMD'!$B$4:$B$19,"Base")</x:f>
        <x:v>109.09090909090901</x:v>
      </x:c>
      <x:c r="F26" s="21" t="n">
        <x:f>(((D26*Premissas!$B$5/Premissas!$B$4)+(C26*Premissas!$B$5/Premissas!$B$4))/2)*(SUMIFS('Cenários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GMD'!$B$4:$B$19,"Base")*Insumos!$E$5)*E26</x:f>
        <x:v>253.98446280991715</x:v>
      </x:c>
      <x:c r="G26" s="21" t="n">
        <x:f>B26*C26</x:f>
        <x:v>3885</x:v>
      </x:c>
      <x:c r="H26" s="21" t="n">
        <x:f>G26-XLOOKUP(A26,Lotes!$A$4:$A$8,Lotes!$D$4:$D$8,Premissas!$B$9)-F26</x:f>
        <x:v>1681.0155371900828</x:v>
      </x:c>
      <x:c r="I26" s="21" t="n">
        <x:f>H26*O26</x:f>
        <x:v>28577.26413223141</x:v>
      </x:c>
      <x:c r="J26" s="20" t="n">
        <x:f>IF(G26=0,0,H26/G26)</x:f>
        <x:v>0.4326938319665593</x:v>
      </x:c>
      <x:c r="K26" s="20" t="n">
        <x:f>IFERROR(H26/(XLOOKUP(A26,Lotes!$A$4:$A$8,Lotes!$D$4:$D$8,Premissas!$B$9)+F26),0)</x:f>
        <x:v>0.762716600572997</x:v>
      </x:c>
      <x:c r="L26" s="19" t="str">
        <x:f>IF(E26=0,"Venda imediata",IF(E26&lt;=60,"Baixo",IF(E26&lt;=120,"Médio","Alto")))</x:f>
        <x:v>Médio</x:v>
      </x:c>
      <x:c r="M26" s="19" t="str">
        <x:f>IF(H26&lt;0,"Não comprar/tratar",IF(L26="Alto","Só se preço/pasto compensar","Viável"))</x:f>
        <x:v>Viável</x:v>
      </x:c>
      <x:c r="N26" s="19" t="str">
        <x:f>IF(C26=12,"Testar margem incremental; não perseguir automaticamente","Comparar com giro e risco")</x:f>
        <x:v>Comparar com giro e risco</x:v>
      </x:c>
      <x:c r="O26" s="19" t="n">
        <x:f>XLOOKUP(A26,Lotes!$A$4:$A$8,Lotes!$B$4:$B$8,0)</x:f>
        <x:v>17</x:v>
      </x:c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  <x:c r="AA26" s="17"/>
      <x:c r="AB26" s="17"/>
    </x:row>
    <x:row r="27">
      <x:c r="A27" s="19" t="str">
        <x:v>Lote maior - base 8,5@</x:v>
      </x:c>
      <x:c r="B27" s="21" t="n">
        <x:v>370</x:v>
      </x:c>
      <x:c r="C27" s="23" t="n">
        <x:v>11</x:v>
      </x:c>
      <x:c r="D27" s="23" t="n">
        <x:f>XLOOKUP(A27,Lotes!$A$4:$A$8,Lotes!$C$4:$C$8,0)</x:f>
        <x:v>8.5</x:v>
      </x:c>
      <x:c r="E27" s="23" t="n">
        <x:f>MAX(0,(C27*Premissas!$B$5/Premissas!$B$4)-(D27*Premissas!$B$5/Premissas!$B$4))/SUMIFS('Cenários de GMD'!$C$4:$C$19,'Cenários de GMD'!$A$4:$A$19,"Econômica",'Cenários de GMD'!$B$4:$B$19,"Base")</x:f>
        <x:v>136.36363636363637</x:v>
      </x:c>
      <x:c r="F27" s="21" t="n">
        <x:f>(((D27*Premissas!$B$5/Premissas!$B$4)+(C27*Premissas!$B$5/Premissas!$B$4))/2)*(SUMIFS('Cenários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GMD'!$B$4:$B$19,"Base")*Insumos!$E$5)*E27</x:f>
        <x:v>325.8353305785124</x:v>
      </x:c>
      <x:c r="G27" s="21" t="n">
        <x:f>B27*C27</x:f>
        <x:v>4070</x:v>
      </x:c>
      <x:c r="H27" s="21" t="n">
        <x:f>G27-XLOOKUP(A27,Lotes!$A$4:$A$8,Lotes!$D$4:$D$8,Premissas!$B$9)-F27</x:f>
        <x:v>1794.1646694214876</x:v>
      </x:c>
      <x:c r="I27" s="21" t="n">
        <x:f>H27*O27</x:f>
        <x:v>30500.79938016529</x:v>
      </x:c>
      <x:c r="J27" s="20" t="n">
        <x:f>IF(G27=0,0,H27/G27)</x:f>
        <x:v>0.4408267001035596</x:v>
      </x:c>
      <x:c r="K27" s="20" t="n">
        <x:f>IFERROR(H27/(XLOOKUP(A27,Lotes!$A$4:$A$8,Lotes!$D$4:$D$8,Premissas!$B$9)+F27),0)</x:f>
        <x:v>0.7883543441455472</x:v>
      </x:c>
      <x:c r="L27" s="19" t="str">
        <x:f>IF(E27=0,"Venda imediata",IF(E27&lt;=60,"Baixo",IF(E27&lt;=120,"Médio","Alto")))</x:f>
        <x:v>Alto</x:v>
      </x:c>
      <x:c r="M27" s="19" t="str">
        <x:f>IF(H27&lt;0,"Não comprar/tratar",IF(L27="Alto","Só se preço/pasto compensar","Viável"))</x:f>
        <x:v>Só se preço/pasto compensar</x:v>
      </x:c>
      <x:c r="N27" s="19" t="str">
        <x:f>IF(C27=12,"Testar margem incremental; não perseguir automaticamente","Comparar com giro e risco")</x:f>
        <x:v>Comparar com giro e risco</x:v>
      </x:c>
      <x:c r="O27" s="19" t="n">
        <x:f>XLOOKUP(A27,Lotes!$A$4:$A$8,Lotes!$B$4:$B$8,0)</x:f>
        <x:v>17</x:v>
      </x:c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  <x:c r="AA27" s="17"/>
      <x:c r="AB27" s="17"/>
    </x:row>
    <x:row r="28">
      <x:c r="A28" s="19" t="str">
        <x:v>Lote maior - base 8,5@</x:v>
      </x:c>
      <x:c r="B28" s="21" t="n">
        <x:v>370</x:v>
      </x:c>
      <x:c r="C28" s="23" t="n">
        <x:v>12</x:v>
      </x:c>
      <x:c r="D28" s="23" t="n">
        <x:f>XLOOKUP(A28,Lotes!$A$4:$A$8,Lotes!$C$4:$C$8,0)</x:f>
        <x:v>8.5</x:v>
      </x:c>
      <x:c r="E28" s="23" t="n">
        <x:f>MAX(0,(C28*Premissas!$B$5/Premissas!$B$4)-(D28*Premissas!$B$5/Premissas!$B$4))/SUMIFS('Cenários de GMD'!$C$4:$C$19,'Cenários de GMD'!$A$4:$A$19,"Econômica",'Cenários de GMD'!$B$4:$B$19,"Base")</x:f>
        <x:v>190.90909090909088</x:v>
      </x:c>
      <x:c r="F28" s="21" t="n">
        <x:f>(((D28*Premissas!$B$5/Premissas!$B$4)+(C28*Premissas!$B$5/Premissas!$B$4))/2)*(SUMIFS('Cenários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GMD'!$B$4:$B$19,"Base")*Insumos!$E$5)*E28</x:f>
        <x:v>479.56276859504123</x:v>
      </x:c>
      <x:c r="G28" s="21" t="n">
        <x:f>B28*C28</x:f>
        <x:v>4440</x:v>
      </x:c>
      <x:c r="H28" s="21" t="n">
        <x:f>G28-XLOOKUP(A28,Lotes!$A$4:$A$8,Lotes!$D$4:$D$8,Premissas!$B$9)-F28</x:f>
        <x:v>2010.4372314049588</x:v>
      </x:c>
      <x:c r="I28" s="21" t="n">
        <x:f>H28*O28</x:f>
        <x:v>34177.4329338843</x:v>
      </x:c>
      <x:c r="J28" s="20" t="n">
        <x:f>IF(G28=0,0,H28/G28)</x:f>
        <x:v>0.45280117824436006</x:v>
      </x:c>
      <x:c r="K28" s="20" t="n">
        <x:f>IFERROR(H28/(XLOOKUP(A28,Lotes!$A$4:$A$8,Lotes!$D$4:$D$8,Premissas!$B$9)+F28),0)</x:f>
        <x:v>0.8274893151114375</x:v>
      </x:c>
      <x:c r="L28" s="19" t="str">
        <x:f>IF(E28=0,"Venda imediata",IF(E28&lt;=60,"Baixo",IF(E28&lt;=120,"Médio","Alto")))</x:f>
        <x:v>Alto</x:v>
      </x:c>
      <x:c r="M28" s="19" t="str">
        <x:f>IF(H28&lt;0,"Não comprar/tratar",IF(L28="Alto","Só se preço/pasto compensar","Viável"))</x:f>
        <x:v>Só se preço/pasto compensar</x:v>
      </x:c>
      <x:c r="N28" s="19" t="str">
        <x:f>IF(C28=12,"Testar margem incremental; não perseguir automaticamente","Comparar com giro e risco")</x:f>
        <x:v>Testar margem incremental; não perseguir automaticamente</x:v>
      </x:c>
      <x:c r="O28" s="19" t="n">
        <x:f>XLOOKUP(A28,Lotes!$A$4:$A$8,Lotes!$B$4:$B$8,0)</x:f>
        <x:v>17</x:v>
      </x:c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  <x:c r="AA28" s="17"/>
      <x:c r="AB28" s="17"/>
    </x:row>
    <x:row r="29">
      <x:c r="A29" s="19" t="str">
        <x:v>Lote maior - otimista 9@</x:v>
      </x:c>
      <x:c r="B29" s="21" t="n">
        <x:v>300</x:v>
      </x:c>
      <x:c r="C29" s="23" t="n">
        <x:v>8.5</x:v>
      </x:c>
      <x:c r="D29" s="23" t="n">
        <x:f>XLOOKUP(A29,Lotes!$A$4:$A$8,Lotes!$C$4:$C$8,0)</x:f>
        <x:v>9</x:v>
      </x:c>
      <x:c r="E29" s="23" t="n">
        <x:f>MAX(0,(C29*Premissas!$B$5/Premissas!$B$4)-(D29*Premissas!$B$5/Premissas!$B$4))/SUMIFS('Cenários de GMD'!$C$4:$C$19,'Cenários de GMD'!$A$4:$A$19,"Econômica",'Cenários de GMD'!$B$4:$B$19,"Base")</x:f>
        <x:v>0</x:v>
      </x:c>
      <x:c r="F29" s="21" t="n">
        <x:f>(((D29*Premissas!$B$5/Premissas!$B$4)+(C29*Premissas!$B$5/Premissas!$B$4))/2)*(SUMIFS('Cenários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GMD'!$B$4:$B$19,"Base")*Insumos!$E$5)*E29</x:f>
        <x:v>0</x:v>
      </x:c>
      <x:c r="G29" s="21" t="n">
        <x:f>B29*C29</x:f>
        <x:v>2550</x:v>
      </x:c>
      <x:c r="H29" s="21" t="n">
        <x:f>G29-XLOOKUP(A29,Lotes!$A$4:$A$8,Lotes!$D$4:$D$8,Premissas!$B$9)-F29</x:f>
        <x:v>600</x:v>
      </x:c>
      <x:c r="I29" s="21" t="n">
        <x:f>H29*O29</x:f>
        <x:v>10200</x:v>
      </x:c>
      <x:c r="J29" s="20" t="n">
        <x:f>IF(G29=0,0,H29/G29)</x:f>
        <x:v>0.23529411764705882</x:v>
      </x:c>
      <x:c r="K29" s="20" t="n">
        <x:f>IFERROR(H29/(XLOOKUP(A29,Lotes!$A$4:$A$8,Lotes!$D$4:$D$8,Premissas!$B$9)+F29),0)</x:f>
        <x:v>0.3076923076923077</x:v>
      </x:c>
      <x:c r="L29" s="19" t="str">
        <x:f>IF(E29=0,"Venda imediata",IF(E29&lt;=60,"Baixo",IF(E29&lt;=120,"Médio","Alto")))</x:f>
        <x:v>Venda imediata</x:v>
      </x:c>
      <x:c r="M29" s="19" t="str">
        <x:f>IF(H29&lt;0,"Não comprar/tratar",IF(L29="Alto","Só se preço/pasto compensar","Viável"))</x:f>
        <x:v>Viável</x:v>
      </x:c>
      <x:c r="N29" s="19" t="str">
        <x:f>IF(C29=12,"Testar margem incremental; não perseguir automaticamente","Comparar com giro e risco")</x:f>
        <x:v>Comparar com giro e risco</x:v>
      </x:c>
      <x:c r="O29" s="19" t="n">
        <x:f>XLOOKUP(A29,Lotes!$A$4:$A$8,Lotes!$B$4:$B$8,0)</x:f>
        <x:v>17</x:v>
      </x:c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  <x:c r="AA29" s="17"/>
      <x:c r="AB29" s="17"/>
    </x:row>
    <x:row r="30">
      <x:c r="A30" s="19" t="str">
        <x:v>Lote maior - otimista 9@</x:v>
      </x:c>
      <x:c r="B30" s="21" t="n">
        <x:v>300</x:v>
      </x:c>
      <x:c r="C30" s="23" t="n">
        <x:v>9</x:v>
      </x:c>
      <x:c r="D30" s="23" t="n">
        <x:f>XLOOKUP(A30,Lotes!$A$4:$A$8,Lotes!$C$4:$C$8,0)</x:f>
        <x:v>9</x:v>
      </x:c>
      <x:c r="E30" s="23" t="n">
        <x:f>MAX(0,(C30*Premissas!$B$5/Premissas!$B$4)-(D30*Premissas!$B$5/Premissas!$B$4))/SUMIFS('Cenários de GMD'!$C$4:$C$19,'Cenários de GMD'!$A$4:$A$19,"Econômica",'Cenários de GMD'!$B$4:$B$19,"Base")</x:f>
        <x:v>0</x:v>
      </x:c>
      <x:c r="F30" s="21" t="n">
        <x:f>(((D30*Premissas!$B$5/Premissas!$B$4)+(C30*Premissas!$B$5/Premissas!$B$4))/2)*(SUMIFS('Cenários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GMD'!$B$4:$B$19,"Base")*Insumos!$E$5)*E30</x:f>
        <x:v>0</x:v>
      </x:c>
      <x:c r="G30" s="21" t="n">
        <x:f>B30*C30</x:f>
        <x:v>2700</x:v>
      </x:c>
      <x:c r="H30" s="21" t="n">
        <x:f>G30-XLOOKUP(A30,Lotes!$A$4:$A$8,Lotes!$D$4:$D$8,Premissas!$B$9)-F30</x:f>
        <x:v>750</x:v>
      </x:c>
      <x:c r="I30" s="21" t="n">
        <x:f>H30*O30</x:f>
        <x:v>12750</x:v>
      </x:c>
      <x:c r="J30" s="20" t="n">
        <x:f>IF(G30=0,0,H30/G30)</x:f>
        <x:v>0.2777777777777778</x:v>
      </x:c>
      <x:c r="K30" s="20" t="n">
        <x:f>IFERROR(H30/(XLOOKUP(A30,Lotes!$A$4:$A$8,Lotes!$D$4:$D$8,Premissas!$B$9)+F30),0)</x:f>
        <x:v>0.38461538461538464</x:v>
      </x:c>
      <x:c r="L30" s="19" t="str">
        <x:f>IF(E30=0,"Venda imediata",IF(E30&lt;=60,"Baixo",IF(E30&lt;=120,"Médio","Alto")))</x:f>
        <x:v>Venda imediata</x:v>
      </x:c>
      <x:c r="M30" s="19" t="str">
        <x:f>IF(H30&lt;0,"Não comprar/tratar",IF(L30="Alto","Só se preço/pasto compensar","Viável"))</x:f>
        <x:v>Viável</x:v>
      </x:c>
      <x:c r="N30" s="19" t="str">
        <x:f>IF(C30=12,"Testar margem incremental; não perseguir automaticamente","Comparar com giro e risco")</x:f>
        <x:v>Comparar com giro e risco</x:v>
      </x:c>
      <x:c r="O30" s="19" t="n">
        <x:f>XLOOKUP(A30,Lotes!$A$4:$A$8,Lotes!$B$4:$B$8,0)</x:f>
        <x:v>17</x:v>
      </x:c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  <x:c r="AA30" s="17"/>
      <x:c r="AB30" s="17"/>
    </x:row>
    <x:row r="31">
      <x:c r="A31" s="19" t="str">
        <x:v>Lote maior - otimista 9@</x:v>
      </x:c>
      <x:c r="B31" s="21" t="n">
        <x:v>300</x:v>
      </x:c>
      <x:c r="C31" s="23" t="n">
        <x:v>10.5</x:v>
      </x:c>
      <x:c r="D31" s="23" t="n">
        <x:f>XLOOKUP(A31,Lotes!$A$4:$A$8,Lotes!$C$4:$C$8,0)</x:f>
        <x:v>9</x:v>
      </x:c>
      <x:c r="E31" s="23" t="n">
        <x:f>MAX(0,(C31*Premissas!$B$5/Premissas!$B$4)-(D31*Premissas!$B$5/Premissas!$B$4))/SUMIFS('Cenários de GMD'!$C$4:$C$19,'Cenários de GMD'!$A$4:$A$19,"Econômica",'Cenários de GMD'!$B$4:$B$19,"Base")</x:f>
        <x:v>81.81818181818176</x:v>
      </x:c>
      <x:c r="F31" s="21" t="n">
        <x:f>(((D31*Premissas!$B$5/Premissas!$B$4)+(C31*Premissas!$B$5/Premissas!$B$4))/2)*(SUMIFS('Cenários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GMD'!$B$4:$B$19,"Base")*Insumos!$E$5)*E31</x:f>
        <x:v>195.50119834710728</x:v>
      </x:c>
      <x:c r="G31" s="21" t="n">
        <x:f>B31*C31</x:f>
        <x:v>3150</x:v>
      </x:c>
      <x:c r="H31" s="21" t="n">
        <x:f>G31-XLOOKUP(A31,Lotes!$A$4:$A$8,Lotes!$D$4:$D$8,Premissas!$B$9)-F31</x:f>
        <x:v>1004.4988016528928</x:v>
      </x:c>
      <x:c r="I31" s="21" t="n">
        <x:f>H31*O31</x:f>
        <x:v>17076.479628099176</x:v>
      </x:c>
      <x:c r="J31" s="20" t="n">
        <x:f>IF(G31=0,0,H31/G31)</x:f>
        <x:v>0.3188885084612358</x:v>
      </x:c>
      <x:c r="K31" s="20" t="n">
        <x:f>IFERROR(H31/(XLOOKUP(A31,Lotes!$A$4:$A$8,Lotes!$D$4:$D$8,Premissas!$B$9)+F31),0)</x:f>
        <x:v>0.4681884132373163</x:v>
      </x:c>
      <x:c r="L31" s="19" t="str">
        <x:f>IF(E31=0,"Venda imediata",IF(E31&lt;=60,"Baixo",IF(E31&lt;=120,"Médio","Alto")))</x:f>
        <x:v>Médio</x:v>
      </x:c>
      <x:c r="M31" s="19" t="str">
        <x:f>IF(H31&lt;0,"Não comprar/tratar",IF(L31="Alto","Só se preço/pasto compensar","Viável"))</x:f>
        <x:v>Viável</x:v>
      </x:c>
      <x:c r="N31" s="19" t="str">
        <x:f>IF(C31=12,"Testar margem incremental; não perseguir automaticamente","Comparar com giro e risco")</x:f>
        <x:v>Comparar com giro e risco</x:v>
      </x:c>
      <x:c r="O31" s="19" t="n">
        <x:f>XLOOKUP(A31,Lotes!$A$4:$A$8,Lotes!$B$4:$B$8,0)</x:f>
        <x:v>17</x:v>
      </x:c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</x:row>
    <x:row r="32">
      <x:c r="A32" s="19" t="str">
        <x:v>Lote maior - otimista 9@</x:v>
      </x:c>
      <x:c r="B32" s="21" t="n">
        <x:v>300</x:v>
      </x:c>
      <x:c r="C32" s="23" t="n">
        <x:v>11</x:v>
      </x:c>
      <x:c r="D32" s="23" t="n">
        <x:f>XLOOKUP(A32,Lotes!$A$4:$A$8,Lotes!$C$4:$C$8,0)</x:f>
        <x:v>9</x:v>
      </x:c>
      <x:c r="E32" s="23" t="n">
        <x:f>MAX(0,(C32*Premissas!$B$5/Premissas!$B$4)-(D32*Premissas!$B$5/Premissas!$B$4))/SUMIFS('Cenários de GMD'!$C$4:$C$19,'Cenários de GMD'!$A$4:$A$19,"Econômica",'Cenários de GMD'!$B$4:$B$19,"Base")</x:f>
        <x:v>109.09090909090912</x:v>
      </x:c>
      <x:c r="F32" s="21" t="n">
        <x:f>(((D32*Premissas!$B$5/Premissas!$B$4)+(C32*Premissas!$B$5/Premissas!$B$4))/2)*(SUMIFS('Cenários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GMD'!$B$4:$B$19,"Base")*Insumos!$E$5)*E32</x:f>
        <x:v>267.3520661157026</x:v>
      </x:c>
      <x:c r="G32" s="21" t="n">
        <x:f>B32*C32</x:f>
        <x:v>3300</x:v>
      </x:c>
      <x:c r="H32" s="21" t="n">
        <x:f>G32-XLOOKUP(A32,Lotes!$A$4:$A$8,Lotes!$D$4:$D$8,Premissas!$B$9)-F32</x:f>
        <x:v>1082.6479338842973</x:v>
      </x:c>
      <x:c r="I32" s="21" t="n">
        <x:f>H32*O32</x:f>
        <x:v>18405.014876033056</x:v>
      </x:c>
      <x:c r="J32" s="20" t="n">
        <x:f>IF(G32=0,0,H32/G32)</x:f>
        <x:v>0.3280751314800901</x:v>
      </x:c>
      <x:c r="K32" s="20" t="n">
        <x:f>IFERROR(H32/(XLOOKUP(A32,Lotes!$A$4:$A$8,Lotes!$D$4:$D$8,Premissas!$B$9)+F32),0)</x:f>
        <x:v>0.4882616299092506</x:v>
      </x:c>
      <x:c r="L32" s="19" t="str">
        <x:f>IF(E32=0,"Venda imediata",IF(E32&lt;=60,"Baixo",IF(E32&lt;=120,"Médio","Alto")))</x:f>
        <x:v>Médio</x:v>
      </x:c>
      <x:c r="M32" s="19" t="str">
        <x:f>IF(H32&lt;0,"Não comprar/tratar",IF(L32="Alto","Só se preço/pasto compensar","Viável"))</x:f>
        <x:v>Viável</x:v>
      </x:c>
      <x:c r="N32" s="19" t="str">
        <x:f>IF(C32=12,"Testar margem incremental; não perseguir automaticamente","Comparar com giro e risco")</x:f>
        <x:v>Comparar com giro e risco</x:v>
      </x:c>
      <x:c r="O32" s="19" t="n">
        <x:f>XLOOKUP(A32,Lotes!$A$4:$A$8,Lotes!$B$4:$B$8,0)</x:f>
        <x:v>17</x:v>
      </x:c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  <x:c r="AA32" s="17"/>
      <x:c r="AB32" s="17"/>
    </x:row>
    <x:row r="33">
      <x:c r="A33" s="19" t="str">
        <x:v>Lote maior - otimista 9@</x:v>
      </x:c>
      <x:c r="B33" s="21" t="n">
        <x:v>300</x:v>
      </x:c>
      <x:c r="C33" s="23" t="n">
        <x:v>12</x:v>
      </x:c>
      <x:c r="D33" s="23" t="n">
        <x:f>XLOOKUP(A33,Lotes!$A$4:$A$8,Lotes!$C$4:$C$8,0)</x:f>
        <x:v>9</x:v>
      </x:c>
      <x:c r="E33" s="23" t="n">
        <x:f>MAX(0,(C33*Premissas!$B$5/Premissas!$B$4)-(D33*Premissas!$B$5/Premissas!$B$4))/SUMIFS('Cenários de GMD'!$C$4:$C$19,'Cenários de GMD'!$A$4:$A$19,"Econômica",'Cenários de GMD'!$B$4:$B$19,"Base")</x:f>
        <x:v>163.63636363636363</x:v>
      </x:c>
      <x:c r="F33" s="21" t="n">
        <x:f>(((D33*Premissas!$B$5/Premissas!$B$4)+(C33*Premissas!$B$5/Premissas!$B$4))/2)*(SUMIFS('Cenários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GMD'!$B$4:$B$19,"Base")*Insumos!$E$5)*E33</x:f>
        <x:v>421.0795041322314</x:v>
      </x:c>
      <x:c r="G33" s="21" t="n">
        <x:f>B33*C33</x:f>
        <x:v>3600</x:v>
      </x:c>
      <x:c r="H33" s="21" t="n">
        <x:f>G33-XLOOKUP(A33,Lotes!$A$4:$A$8,Lotes!$D$4:$D$8,Premissas!$B$9)-F33</x:f>
        <x:v>1228.9204958677685</x:v>
      </x:c>
      <x:c r="I33" s="21" t="n">
        <x:f>H33*O33</x:f>
        <x:v>20891.648429752066</x:v>
      </x:c>
      <x:c r="J33" s="20" t="n">
        <x:f>IF(G33=0,0,H33/G33)</x:f>
        <x:v>0.3413668044077135</x:v>
      </x:c>
      <x:c r="K33" s="20" t="n">
        <x:f>IFERROR(H33/(XLOOKUP(A33,Lotes!$A$4:$A$8,Lotes!$D$4:$D$8,Premissas!$B$9)+F33),0)</x:f>
        <x:v>0.5182957778202083</x:v>
      </x:c>
      <x:c r="L33" s="19" t="str">
        <x:f>IF(E33=0,"Venda imediata",IF(E33&lt;=60,"Baixo",IF(E33&lt;=120,"Médio","Alto")))</x:f>
        <x:v>Alto</x:v>
      </x:c>
      <x:c r="M33" s="19" t="str">
        <x:f>IF(H33&lt;0,"Não comprar/tratar",IF(L33="Alto","Só se preço/pasto compensar","Viável"))</x:f>
        <x:v>Só se preço/pasto compensar</x:v>
      </x:c>
      <x:c r="N33" s="19" t="str">
        <x:f>IF(C33=12,"Testar margem incremental; não perseguir automaticamente","Comparar com giro e risco")</x:f>
        <x:v>Testar margem incremental; não perseguir automaticamente</x:v>
      </x:c>
      <x:c r="O33" s="19" t="n">
        <x:f>XLOOKUP(A33,Lotes!$A$4:$A$8,Lotes!$B$4:$B$8,0)</x:f>
        <x:v>17</x:v>
      </x:c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  <x:c r="AA33" s="17"/>
      <x:c r="AB33" s="17"/>
    </x:row>
    <x:row r="34">
      <x:c r="A34" s="19" t="str">
        <x:v>Lote maior - otimista 9@</x:v>
      </x:c>
      <x:c r="B34" s="21" t="n">
        <x:v>320</x:v>
      </x:c>
      <x:c r="C34" s="23" t="n">
        <x:v>8.5</x:v>
      </x:c>
      <x:c r="D34" s="23" t="n">
        <x:f>XLOOKUP(A34,Lotes!$A$4:$A$8,Lotes!$C$4:$C$8,0)</x:f>
        <x:v>9</x:v>
      </x:c>
      <x:c r="E34" s="23" t="n">
        <x:f>MAX(0,(C34*Premissas!$B$5/Premissas!$B$4)-(D34*Premissas!$B$5/Premissas!$B$4))/SUMIFS('Cenários de GMD'!$C$4:$C$19,'Cenários de GMD'!$A$4:$A$19,"Econômica",'Cenários de GMD'!$B$4:$B$19,"Base")</x:f>
        <x:v>0</x:v>
      </x:c>
      <x:c r="F34" s="21" t="n">
        <x:f>(((D34*Premissas!$B$5/Premissas!$B$4)+(C34*Premissas!$B$5/Premissas!$B$4))/2)*(SUMIFS('Cenários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GMD'!$B$4:$B$19,"Base")*Insumos!$E$5)*E34</x:f>
        <x:v>0</x:v>
      </x:c>
      <x:c r="G34" s="21" t="n">
        <x:f>B34*C34</x:f>
        <x:v>2720</x:v>
      </x:c>
      <x:c r="H34" s="21" t="n">
        <x:f>G34-XLOOKUP(A34,Lotes!$A$4:$A$8,Lotes!$D$4:$D$8,Premissas!$B$9)-F34</x:f>
        <x:v>770</x:v>
      </x:c>
      <x:c r="I34" s="21" t="n">
        <x:f>H34*O34</x:f>
        <x:v>13090</x:v>
      </x:c>
      <x:c r="J34" s="20" t="n">
        <x:f>IF(G34=0,0,H34/G34)</x:f>
        <x:v>0.28308823529411764</x:v>
      </x:c>
      <x:c r="K34" s="20" t="n">
        <x:f>IFERROR(H34/(XLOOKUP(A34,Lotes!$A$4:$A$8,Lotes!$D$4:$D$8,Premissas!$B$9)+F34),0)</x:f>
        <x:v>0.39487179487179486</x:v>
      </x:c>
      <x:c r="L34" s="19" t="str">
        <x:f>IF(E34=0,"Venda imediata",IF(E34&lt;=60,"Baixo",IF(E34&lt;=120,"Médio","Alto")))</x:f>
        <x:v>Venda imediata</x:v>
      </x:c>
      <x:c r="M34" s="19" t="str">
        <x:f>IF(H34&lt;0,"Não comprar/tratar",IF(L34="Alto","Só se preço/pasto compensar","Viável"))</x:f>
        <x:v>Viável</x:v>
      </x:c>
      <x:c r="N34" s="19" t="str">
        <x:f>IF(C34=12,"Testar margem incremental; não perseguir automaticamente","Comparar com giro e risco")</x:f>
        <x:v>Comparar com giro e risco</x:v>
      </x:c>
      <x:c r="O34" s="19" t="n">
        <x:f>XLOOKUP(A34,Lotes!$A$4:$A$8,Lotes!$B$4:$B$8,0)</x:f>
        <x:v>17</x:v>
      </x:c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  <x:c r="AA34" s="17"/>
      <x:c r="AB34" s="17"/>
    </x:row>
    <x:row r="35">
      <x:c r="A35" s="19" t="str">
        <x:v>Lote maior - otimista 9@</x:v>
      </x:c>
      <x:c r="B35" s="21" t="n">
        <x:v>320</x:v>
      </x:c>
      <x:c r="C35" s="23" t="n">
        <x:v>9</x:v>
      </x:c>
      <x:c r="D35" s="23" t="n">
        <x:f>XLOOKUP(A35,Lotes!$A$4:$A$8,Lotes!$C$4:$C$8,0)</x:f>
        <x:v>9</x:v>
      </x:c>
      <x:c r="E35" s="23" t="n">
        <x:f>MAX(0,(C35*Premissas!$B$5/Premissas!$B$4)-(D35*Premissas!$B$5/Premissas!$B$4))/SUMIFS('Cenários de GMD'!$C$4:$C$19,'Cenários de GMD'!$A$4:$A$19,"Econômica",'Cenários de GMD'!$B$4:$B$19,"Base")</x:f>
        <x:v>0</x:v>
      </x:c>
      <x:c r="F35" s="21" t="n">
        <x:f>(((D35*Premissas!$B$5/Premissas!$B$4)+(C35*Premissas!$B$5/Premissas!$B$4))/2)*(SUMIFS('Cenários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GMD'!$B$4:$B$19,"Base")*Insumos!$E$5)*E35</x:f>
        <x:v>0</x:v>
      </x:c>
      <x:c r="G35" s="21" t="n">
        <x:f>B35*C35</x:f>
        <x:v>2880</x:v>
      </x:c>
      <x:c r="H35" s="21" t="n">
        <x:f>G35-XLOOKUP(A35,Lotes!$A$4:$A$8,Lotes!$D$4:$D$8,Premissas!$B$9)-F35</x:f>
        <x:v>930</x:v>
      </x:c>
      <x:c r="I35" s="21" t="n">
        <x:f>H35*O35</x:f>
        <x:v>15810</x:v>
      </x:c>
      <x:c r="J35" s="20" t="n">
        <x:f>IF(G35=0,0,H35/G35)</x:f>
        <x:v>0.3229166666666667</x:v>
      </x:c>
      <x:c r="K35" s="20" t="n">
        <x:f>IFERROR(H35/(XLOOKUP(A35,Lotes!$A$4:$A$8,Lotes!$D$4:$D$8,Premissas!$B$9)+F35),0)</x:f>
        <x:v>0.47692307692307695</x:v>
      </x:c>
      <x:c r="L35" s="19" t="str">
        <x:f>IF(E35=0,"Venda imediata",IF(E35&lt;=60,"Baixo",IF(E35&lt;=120,"Médio","Alto")))</x:f>
        <x:v>Venda imediata</x:v>
      </x:c>
      <x:c r="M35" s="19" t="str">
        <x:f>IF(H35&lt;0,"Não comprar/tratar",IF(L35="Alto","Só se preço/pasto compensar","Viável"))</x:f>
        <x:v>Viável</x:v>
      </x:c>
      <x:c r="N35" s="19" t="str">
        <x:f>IF(C35=12,"Testar margem incremental; não perseguir automaticamente","Comparar com giro e risco")</x:f>
        <x:v>Comparar com giro e risco</x:v>
      </x:c>
      <x:c r="O35" s="19" t="n">
        <x:f>XLOOKUP(A35,Lotes!$A$4:$A$8,Lotes!$B$4:$B$8,0)</x:f>
        <x:v>17</x:v>
      </x:c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  <x:c r="AA35" s="17"/>
      <x:c r="AB35" s="17"/>
    </x:row>
    <x:row r="36">
      <x:c r="A36" s="19" t="str">
        <x:v>Lote maior - otimista 9@</x:v>
      </x:c>
      <x:c r="B36" s="21" t="n">
        <x:v>320</x:v>
      </x:c>
      <x:c r="C36" s="23" t="n">
        <x:v>10.5</x:v>
      </x:c>
      <x:c r="D36" s="23" t="n">
        <x:f>XLOOKUP(A36,Lotes!$A$4:$A$8,Lotes!$C$4:$C$8,0)</x:f>
        <x:v>9</x:v>
      </x:c>
      <x:c r="E36" s="23" t="n">
        <x:f>MAX(0,(C36*Premissas!$B$5/Premissas!$B$4)-(D36*Premissas!$B$5/Premissas!$B$4))/SUMIFS('Cenários de GMD'!$C$4:$C$19,'Cenários de GMD'!$A$4:$A$19,"Econômica",'Cenários de GMD'!$B$4:$B$19,"Base")</x:f>
        <x:v>81.81818181818176</x:v>
      </x:c>
      <x:c r="F36" s="21" t="n">
        <x:f>(((D36*Premissas!$B$5/Premissas!$B$4)+(C36*Premissas!$B$5/Premissas!$B$4))/2)*(SUMIFS('Cenários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GMD'!$B$4:$B$19,"Base")*Insumos!$E$5)*E36</x:f>
        <x:v>195.50119834710728</x:v>
      </x:c>
      <x:c r="G36" s="21" t="n">
        <x:f>B36*C36</x:f>
        <x:v>3360</x:v>
      </x:c>
      <x:c r="H36" s="21" t="n">
        <x:f>G36-XLOOKUP(A36,Lotes!$A$4:$A$8,Lotes!$D$4:$D$8,Premissas!$B$9)-F36</x:f>
        <x:v>1214.4988016528928</x:v>
      </x:c>
      <x:c r="I36" s="21" t="n">
        <x:f>H36*O36</x:f>
        <x:v>20646.479628099176</x:v>
      </x:c>
      <x:c r="J36" s="20" t="n">
        <x:f>IF(G36=0,0,H36/G36)</x:f>
        <x:v>0.3614579766824086</x:v>
      </x:c>
      <x:c r="K36" s="20" t="n">
        <x:f>IFERROR(H36/(XLOOKUP(A36,Lotes!$A$4:$A$8,Lotes!$D$4:$D$8,Premissas!$B$9)+F36),0)</x:f>
        <x:v>0.5660676407864708</x:v>
      </x:c>
      <x:c r="L36" s="19" t="str">
        <x:f>IF(E36=0,"Venda imediata",IF(E36&lt;=60,"Baixo",IF(E36&lt;=120,"Médio","Alto")))</x:f>
        <x:v>Médio</x:v>
      </x:c>
      <x:c r="M36" s="19" t="str">
        <x:f>IF(H36&lt;0,"Não comprar/tratar",IF(L36="Alto","Só se preço/pasto compensar","Viável"))</x:f>
        <x:v>Viável</x:v>
      </x:c>
      <x:c r="N36" s="19" t="str">
        <x:f>IF(C36=12,"Testar margem incremental; não perseguir automaticamente","Comparar com giro e risco")</x:f>
        <x:v>Comparar com giro e risco</x:v>
      </x:c>
      <x:c r="O36" s="19" t="n">
        <x:f>XLOOKUP(A36,Lotes!$A$4:$A$8,Lotes!$B$4:$B$8,0)</x:f>
        <x:v>17</x:v>
      </x:c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  <x:c r="AA36" s="17"/>
      <x:c r="AB36" s="17"/>
    </x:row>
    <x:row r="37">
      <x:c r="A37" s="19" t="str">
        <x:v>Lote maior - otimista 9@</x:v>
      </x:c>
      <x:c r="B37" s="21" t="n">
        <x:v>320</x:v>
      </x:c>
      <x:c r="C37" s="23" t="n">
        <x:v>11</x:v>
      </x:c>
      <x:c r="D37" s="23" t="n">
        <x:f>XLOOKUP(A37,Lotes!$A$4:$A$8,Lotes!$C$4:$C$8,0)</x:f>
        <x:v>9</x:v>
      </x:c>
      <x:c r="E37" s="23" t="n">
        <x:f>MAX(0,(C37*Premissas!$B$5/Premissas!$B$4)-(D37*Premissas!$B$5/Premissas!$B$4))/SUMIFS('Cenários de GMD'!$C$4:$C$19,'Cenários de GMD'!$A$4:$A$19,"Econômica",'Cenários de GMD'!$B$4:$B$19,"Base")</x:f>
        <x:v>109.09090909090912</x:v>
      </x:c>
      <x:c r="F37" s="21" t="n">
        <x:f>(((D37*Premissas!$B$5/Premissas!$B$4)+(C37*Premissas!$B$5/Premissas!$B$4))/2)*(SUMIFS('Cenários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GMD'!$B$4:$B$19,"Base")*Insumos!$E$5)*E37</x:f>
        <x:v>267.3520661157026</x:v>
      </x:c>
      <x:c r="G37" s="21" t="n">
        <x:f>B37*C37</x:f>
        <x:v>3520</x:v>
      </x:c>
      <x:c r="H37" s="21" t="n">
        <x:f>G37-XLOOKUP(A37,Lotes!$A$4:$A$8,Lotes!$D$4:$D$8,Premissas!$B$9)-F37</x:f>
        <x:v>1302.6479338842973</x:v>
      </x:c>
      <x:c r="I37" s="21" t="n">
        <x:f>H37*O37</x:f>
        <x:v>22145.014876033056</x:v>
      </x:c>
      <x:c r="J37" s="20" t="n">
        <x:f>IF(G37=0,0,H37/G37)</x:f>
        <x:v>0.37007043576258447</x:v>
      </x:c>
      <x:c r="K37" s="20" t="n">
        <x:f>IFERROR(H37/(XLOOKUP(A37,Lotes!$A$4:$A$8,Lotes!$D$4:$D$8,Premissas!$B$9)+F37),0)</x:f>
        <x:v>0.5874790719032006</x:v>
      </x:c>
      <x:c r="L37" s="19" t="str">
        <x:f>IF(E37=0,"Venda imediata",IF(E37&lt;=60,"Baixo",IF(E37&lt;=120,"Médio","Alto")))</x:f>
        <x:v>Médio</x:v>
      </x:c>
      <x:c r="M37" s="19" t="str">
        <x:f>IF(H37&lt;0,"Não comprar/tratar",IF(L37="Alto","Só se preço/pasto compensar","Viável"))</x:f>
        <x:v>Viável</x:v>
      </x:c>
      <x:c r="N37" s="19" t="str">
        <x:f>IF(C37=12,"Testar margem incremental; não perseguir automaticamente","Comparar com giro e risco")</x:f>
        <x:v>Comparar com giro e risco</x:v>
      </x:c>
      <x:c r="O37" s="19" t="n">
        <x:f>XLOOKUP(A37,Lotes!$A$4:$A$8,Lotes!$B$4:$B$8,0)</x:f>
        <x:v>17</x:v>
      </x:c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  <x:c r="AA37" s="17"/>
      <x:c r="AB37" s="17"/>
    </x:row>
    <x:row r="38">
      <x:c r="A38" s="19" t="str">
        <x:v>Lote maior - otimista 9@</x:v>
      </x:c>
      <x:c r="B38" s="21" t="n">
        <x:v>320</x:v>
      </x:c>
      <x:c r="C38" s="23" t="n">
        <x:v>12</x:v>
      </x:c>
      <x:c r="D38" s="23" t="n">
        <x:f>XLOOKUP(A38,Lotes!$A$4:$A$8,Lotes!$C$4:$C$8,0)</x:f>
        <x:v>9</x:v>
      </x:c>
      <x:c r="E38" s="23" t="n">
        <x:f>MAX(0,(C38*Premissas!$B$5/Premissas!$B$4)-(D38*Premissas!$B$5/Premissas!$B$4))/SUMIFS('Cenários de GMD'!$C$4:$C$19,'Cenários de GMD'!$A$4:$A$19,"Econômica",'Cenários de GMD'!$B$4:$B$19,"Base")</x:f>
        <x:v>163.63636363636363</x:v>
      </x:c>
      <x:c r="F38" s="21" t="n">
        <x:f>(((D38*Premissas!$B$5/Premissas!$B$4)+(C38*Premissas!$B$5/Premissas!$B$4))/2)*(SUMIFS('Cenários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GMD'!$B$4:$B$19,"Base")*Insumos!$E$5)*E38</x:f>
        <x:v>421.0795041322314</x:v>
      </x:c>
      <x:c r="G38" s="21" t="n">
        <x:f>B38*C38</x:f>
        <x:v>3840</x:v>
      </x:c>
      <x:c r="H38" s="21" t="n">
        <x:f>G38-XLOOKUP(A38,Lotes!$A$4:$A$8,Lotes!$D$4:$D$8,Premissas!$B$9)-F38</x:f>
        <x:v>1468.9204958677685</x:v>
      </x:c>
      <x:c r="I38" s="21" t="n">
        <x:f>H38*O38</x:f>
        <x:v>24971.648429752066</x:v>
      </x:c>
      <x:c r="J38" s="20" t="n">
        <x:f>IF(G38=0,0,H38/G38)</x:f>
        <x:v>0.3825313791322314</x:v>
      </x:c>
      <x:c r="K38" s="20" t="n">
        <x:f>IFERROR(H38/(XLOOKUP(A38,Lotes!$A$4:$A$8,Lotes!$D$4:$D$8,Premissas!$B$9)+F38),0)</x:f>
        <x:v>0.6195154963415554</x:v>
      </x:c>
      <x:c r="L38" s="19" t="str">
        <x:f>IF(E38=0,"Venda imediata",IF(E38&lt;=60,"Baixo",IF(E38&lt;=120,"Médio","Alto")))</x:f>
        <x:v>Alto</x:v>
      </x:c>
      <x:c r="M38" s="19" t="str">
        <x:f>IF(H38&lt;0,"Não comprar/tratar",IF(L38="Alto","Só se preço/pasto compensar","Viável"))</x:f>
        <x:v>Só se preço/pasto compensar</x:v>
      </x:c>
      <x:c r="N38" s="19" t="str">
        <x:f>IF(C38=12,"Testar margem incremental; não perseguir automaticamente","Comparar com giro e risco")</x:f>
        <x:v>Testar margem incremental; não perseguir automaticamente</x:v>
      </x:c>
      <x:c r="O38" s="19" t="n">
        <x:f>XLOOKUP(A38,Lotes!$A$4:$A$8,Lotes!$B$4:$B$8,0)</x:f>
        <x:v>17</x:v>
      </x:c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</x:row>
    <x:row r="39">
      <x:c r="A39" s="19" t="str">
        <x:v>Lote maior - otimista 9@</x:v>
      </x:c>
      <x:c r="B39" s="21" t="n">
        <x:v>330</x:v>
      </x:c>
      <x:c r="C39" s="23" t="n">
        <x:v>8.5</x:v>
      </x:c>
      <x:c r="D39" s="23" t="n">
        <x:f>XLOOKUP(A39,Lotes!$A$4:$A$8,Lotes!$C$4:$C$8,0)</x:f>
        <x:v>9</x:v>
      </x:c>
      <x:c r="E39" s="23" t="n">
        <x:f>MAX(0,(C39*Premissas!$B$5/Premissas!$B$4)-(D39*Premissas!$B$5/Premissas!$B$4))/SUMIFS('Cenários de GMD'!$C$4:$C$19,'Cenários de GMD'!$A$4:$A$19,"Econômica",'Cenários de GMD'!$B$4:$B$19,"Base")</x:f>
        <x:v>0</x:v>
      </x:c>
      <x:c r="F39" s="21" t="n">
        <x:f>(((D39*Premissas!$B$5/Premissas!$B$4)+(C39*Premissas!$B$5/Premissas!$B$4))/2)*(SUMIFS('Cenários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GMD'!$B$4:$B$19,"Base")*Insumos!$E$5)*E39</x:f>
        <x:v>0</x:v>
      </x:c>
      <x:c r="G39" s="21" t="n">
        <x:f>B39*C39</x:f>
        <x:v>2805</x:v>
      </x:c>
      <x:c r="H39" s="21" t="n">
        <x:f>G39-XLOOKUP(A39,Lotes!$A$4:$A$8,Lotes!$D$4:$D$8,Premissas!$B$9)-F39</x:f>
        <x:v>855</x:v>
      </x:c>
      <x:c r="I39" s="21" t="n">
        <x:f>H39*O39</x:f>
        <x:v>14535</x:v>
      </x:c>
      <x:c r="J39" s="20" t="n">
        <x:f>IF(G39=0,0,H39/G39)</x:f>
        <x:v>0.3048128342245989</x:v>
      </x:c>
      <x:c r="K39" s="20" t="n">
        <x:f>IFERROR(H39/(XLOOKUP(A39,Lotes!$A$4:$A$8,Lotes!$D$4:$D$8,Premissas!$B$9)+F39),0)</x:f>
        <x:v>0.43846153846153846</x:v>
      </x:c>
      <x:c r="L39" s="19" t="str">
        <x:f>IF(E39=0,"Venda imediata",IF(E39&lt;=60,"Baixo",IF(E39&lt;=120,"Médio","Alto")))</x:f>
        <x:v>Venda imediata</x:v>
      </x:c>
      <x:c r="M39" s="19" t="str">
        <x:f>IF(H39&lt;0,"Não comprar/tratar",IF(L39="Alto","Só se preço/pasto compensar","Viável"))</x:f>
        <x:v>Viável</x:v>
      </x:c>
      <x:c r="N39" s="19" t="str">
        <x:f>IF(C39=12,"Testar margem incremental; não perseguir automaticamente","Comparar com giro e risco")</x:f>
        <x:v>Comparar com giro e risco</x:v>
      </x:c>
      <x:c r="O39" s="19" t="n">
        <x:f>XLOOKUP(A39,Lotes!$A$4:$A$8,Lotes!$B$4:$B$8,0)</x:f>
        <x:v>17</x:v>
      </x:c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</x:row>
    <x:row r="40">
      <x:c r="A40" s="19" t="str">
        <x:v>Lote maior - otimista 9@</x:v>
      </x:c>
      <x:c r="B40" s="21" t="n">
        <x:v>330</x:v>
      </x:c>
      <x:c r="C40" s="23" t="n">
        <x:v>9</x:v>
      </x:c>
      <x:c r="D40" s="23" t="n">
        <x:f>XLOOKUP(A40,Lotes!$A$4:$A$8,Lotes!$C$4:$C$8,0)</x:f>
        <x:v>9</x:v>
      </x:c>
      <x:c r="E40" s="23" t="n">
        <x:f>MAX(0,(C40*Premissas!$B$5/Premissas!$B$4)-(D40*Premissas!$B$5/Premissas!$B$4))/SUMIFS('Cenários de GMD'!$C$4:$C$19,'Cenários de GMD'!$A$4:$A$19,"Econômica",'Cenários de GMD'!$B$4:$B$19,"Base")</x:f>
        <x:v>0</x:v>
      </x:c>
      <x:c r="F40" s="21" t="n">
        <x:f>(((D40*Premissas!$B$5/Premissas!$B$4)+(C40*Premissas!$B$5/Premissas!$B$4))/2)*(SUMIFS('Cenários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GMD'!$B$4:$B$19,"Base")*Insumos!$E$5)*E40</x:f>
        <x:v>0</x:v>
      </x:c>
      <x:c r="G40" s="21" t="n">
        <x:f>B40*C40</x:f>
        <x:v>2970</x:v>
      </x:c>
      <x:c r="H40" s="21" t="n">
        <x:f>G40-XLOOKUP(A40,Lotes!$A$4:$A$8,Lotes!$D$4:$D$8,Premissas!$B$9)-F40</x:f>
        <x:v>1020</x:v>
      </x:c>
      <x:c r="I40" s="21" t="n">
        <x:f>H40*O40</x:f>
        <x:v>17340</x:v>
      </x:c>
      <x:c r="J40" s="20" t="n">
        <x:f>IF(G40=0,0,H40/G40)</x:f>
        <x:v>0.3434343434343434</x:v>
      </x:c>
      <x:c r="K40" s="20" t="n">
        <x:f>IFERROR(H40/(XLOOKUP(A40,Lotes!$A$4:$A$8,Lotes!$D$4:$D$8,Premissas!$B$9)+F40),0)</x:f>
        <x:v>0.5230769230769231</x:v>
      </x:c>
      <x:c r="L40" s="19" t="str">
        <x:f>IF(E40=0,"Venda imediata",IF(E40&lt;=60,"Baixo",IF(E40&lt;=120,"Médio","Alto")))</x:f>
        <x:v>Venda imediata</x:v>
      </x:c>
      <x:c r="M40" s="19" t="str">
        <x:f>IF(H40&lt;0,"Não comprar/tratar",IF(L40="Alto","Só se preço/pasto compensar","Viável"))</x:f>
        <x:v>Viável</x:v>
      </x:c>
      <x:c r="N40" s="19" t="str">
        <x:f>IF(C40=12,"Testar margem incremental; não perseguir automaticamente","Comparar com giro e risco")</x:f>
        <x:v>Comparar com giro e risco</x:v>
      </x:c>
      <x:c r="O40" s="19" t="n">
        <x:f>XLOOKUP(A40,Lotes!$A$4:$A$8,Lotes!$B$4:$B$8,0)</x:f>
        <x:v>17</x:v>
      </x:c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  <x:c r="AA40" s="17"/>
      <x:c r="AB40" s="17"/>
    </x:row>
    <x:row r="41">
      <x:c r="A41" s="19" t="str">
        <x:v>Lote maior - otimista 9@</x:v>
      </x:c>
      <x:c r="B41" s="21" t="n">
        <x:v>330</x:v>
      </x:c>
      <x:c r="C41" s="23" t="n">
        <x:v>10.5</x:v>
      </x:c>
      <x:c r="D41" s="23" t="n">
        <x:f>XLOOKUP(A41,Lotes!$A$4:$A$8,Lotes!$C$4:$C$8,0)</x:f>
        <x:v>9</x:v>
      </x:c>
      <x:c r="E41" s="23" t="n">
        <x:f>MAX(0,(C41*Premissas!$B$5/Premissas!$B$4)-(D41*Premissas!$B$5/Premissas!$B$4))/SUMIFS('Cenários de GMD'!$C$4:$C$19,'Cenários de GMD'!$A$4:$A$19,"Econômica",'Cenários de GMD'!$B$4:$B$19,"Base")</x:f>
        <x:v>81.81818181818176</x:v>
      </x:c>
      <x:c r="F41" s="21" t="n">
        <x:f>(((D41*Premissas!$B$5/Premissas!$B$4)+(C41*Premissas!$B$5/Premissas!$B$4))/2)*(SUMIFS('Cenários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GMD'!$B$4:$B$19,"Base")*Insumos!$E$5)*E41</x:f>
        <x:v>195.50119834710728</x:v>
      </x:c>
      <x:c r="G41" s="21" t="n">
        <x:f>B41*C41</x:f>
        <x:v>3465</x:v>
      </x:c>
      <x:c r="H41" s="21" t="n">
        <x:f>G41-XLOOKUP(A41,Lotes!$A$4:$A$8,Lotes!$D$4:$D$8,Premissas!$B$9)-F41</x:f>
        <x:v>1319.4988016528928</x:v>
      </x:c>
      <x:c r="I41" s="21" t="n">
        <x:f>H41*O41</x:f>
        <x:v>22431.479628099176</x:v>
      </x:c>
      <x:c r="J41" s="20" t="n">
        <x:f>IF(G41=0,0,H41/G41)</x:f>
        <x:v>0.38080773496475984</x:v>
      </x:c>
      <x:c r="K41" s="20" t="n">
        <x:f>IFERROR(H41/(XLOOKUP(A41,Lotes!$A$4:$A$8,Lotes!$D$4:$D$8,Premissas!$B$9)+F41),0)</x:f>
        <x:v>0.615007254561048</x:v>
      </x:c>
      <x:c r="L41" s="19" t="str">
        <x:f>IF(E41=0,"Venda imediata",IF(E41&lt;=60,"Baixo",IF(E41&lt;=120,"Médio","Alto")))</x:f>
        <x:v>Médio</x:v>
      </x:c>
      <x:c r="M41" s="19" t="str">
        <x:f>IF(H41&lt;0,"Não comprar/tratar",IF(L41="Alto","Só se preço/pasto compensar","Viável"))</x:f>
        <x:v>Viável</x:v>
      </x:c>
      <x:c r="N41" s="19" t="str">
        <x:f>IF(C41=12,"Testar margem incremental; não perseguir automaticamente","Comparar com giro e risco")</x:f>
        <x:v>Comparar com giro e risco</x:v>
      </x:c>
      <x:c r="O41" s="19" t="n">
        <x:f>XLOOKUP(A41,Lotes!$A$4:$A$8,Lotes!$B$4:$B$8,0)</x:f>
        <x:v>17</x:v>
      </x:c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  <x:c r="AA41" s="17"/>
      <x:c r="AB41" s="17"/>
    </x:row>
    <x:row r="42">
      <x:c r="A42" s="19" t="str">
        <x:v>Lote maior - otimista 9@</x:v>
      </x:c>
      <x:c r="B42" s="21" t="n">
        <x:v>330</x:v>
      </x:c>
      <x:c r="C42" s="23" t="n">
        <x:v>11</x:v>
      </x:c>
      <x:c r="D42" s="23" t="n">
        <x:f>XLOOKUP(A42,Lotes!$A$4:$A$8,Lotes!$C$4:$C$8,0)</x:f>
        <x:v>9</x:v>
      </x:c>
      <x:c r="E42" s="23" t="n">
        <x:f>MAX(0,(C42*Premissas!$B$5/Premissas!$B$4)-(D42*Premissas!$B$5/Premissas!$B$4))/SUMIFS('Cenários de GMD'!$C$4:$C$19,'Cenários de GMD'!$A$4:$A$19,"Econômica",'Cenários de GMD'!$B$4:$B$19,"Base")</x:f>
        <x:v>109.09090909090912</x:v>
      </x:c>
      <x:c r="F42" s="21" t="n">
        <x:f>(((D42*Premissas!$B$5/Premissas!$B$4)+(C42*Premissas!$B$5/Premissas!$B$4))/2)*(SUMIFS('Cenários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GMD'!$B$4:$B$19,"Base")*Insumos!$E$5)*E42</x:f>
        <x:v>267.3520661157026</x:v>
      </x:c>
      <x:c r="G42" s="21" t="n">
        <x:f>B42*C42</x:f>
        <x:v>3630</x:v>
      </x:c>
      <x:c r="H42" s="21" t="n">
        <x:f>G42-XLOOKUP(A42,Lotes!$A$4:$A$8,Lotes!$D$4:$D$8,Premissas!$B$9)-F42</x:f>
        <x:v>1412.6479338842973</x:v>
      </x:c>
      <x:c r="I42" s="21" t="n">
        <x:f>H42*O42</x:f>
        <x:v>24015.014876033056</x:v>
      </x:c>
      <x:c r="J42" s="20" t="n">
        <x:f>IF(G42=0,0,H42/G42)</x:f>
        <x:v>0.3891592104364455</x:v>
      </x:c>
      <x:c r="K42" s="20" t="n">
        <x:f>IFERROR(H42/(XLOOKUP(A42,Lotes!$A$4:$A$8,Lotes!$D$4:$D$8,Premissas!$B$9)+F42),0)</x:f>
        <x:v>0.6370877929001757</x:v>
      </x:c>
      <x:c r="L42" s="19" t="str">
        <x:f>IF(E42=0,"Venda imediata",IF(E42&lt;=60,"Baixo",IF(E42&lt;=120,"Médio","Alto")))</x:f>
        <x:v>Médio</x:v>
      </x:c>
      <x:c r="M42" s="19" t="str">
        <x:f>IF(H42&lt;0,"Não comprar/tratar",IF(L42="Alto","Só se preço/pasto compensar","Viável"))</x:f>
        <x:v>Viável</x:v>
      </x:c>
      <x:c r="N42" s="19" t="str">
        <x:f>IF(C42=12,"Testar margem incremental; não perseguir automaticamente","Comparar com giro e risco")</x:f>
        <x:v>Comparar com giro e risco</x:v>
      </x:c>
      <x:c r="O42" s="19" t="n">
        <x:f>XLOOKUP(A42,Lotes!$A$4:$A$8,Lotes!$B$4:$B$8,0)</x:f>
        <x:v>17</x:v>
      </x:c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  <x:c r="AA42" s="17"/>
      <x:c r="AB42" s="17"/>
    </x:row>
    <x:row r="43">
      <x:c r="A43" s="19" t="str">
        <x:v>Lote maior - otimista 9@</x:v>
      </x:c>
      <x:c r="B43" s="21" t="n">
        <x:v>330</x:v>
      </x:c>
      <x:c r="C43" s="23" t="n">
        <x:v>12</x:v>
      </x:c>
      <x:c r="D43" s="23" t="n">
        <x:f>XLOOKUP(A43,Lotes!$A$4:$A$8,Lotes!$C$4:$C$8,0)</x:f>
        <x:v>9</x:v>
      </x:c>
      <x:c r="E43" s="23" t="n">
        <x:f>MAX(0,(C43*Premissas!$B$5/Premissas!$B$4)-(D43*Premissas!$B$5/Premissas!$B$4))/SUMIFS('Cenários de GMD'!$C$4:$C$19,'Cenários de GMD'!$A$4:$A$19,"Econômica",'Cenários de GMD'!$B$4:$B$19,"Base")</x:f>
        <x:v>163.63636363636363</x:v>
      </x:c>
      <x:c r="F43" s="21" t="n">
        <x:f>(((D43*Premissas!$B$5/Premissas!$B$4)+(C43*Premissas!$B$5/Premissas!$B$4))/2)*(SUMIFS('Cenários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GMD'!$B$4:$B$19,"Base")*Insumos!$E$5)*E43</x:f>
        <x:v>421.0795041322314</x:v>
      </x:c>
      <x:c r="G43" s="21" t="n">
        <x:f>B43*C43</x:f>
        <x:v>3960</x:v>
      </x:c>
      <x:c r="H43" s="21" t="n">
        <x:f>G43-XLOOKUP(A43,Lotes!$A$4:$A$8,Lotes!$D$4:$D$8,Premissas!$B$9)-F43</x:f>
        <x:v>1588.9204958677685</x:v>
      </x:c>
      <x:c r="I43" s="21" t="n">
        <x:f>H43*O43</x:f>
        <x:v>27011.648429752066</x:v>
      </x:c>
      <x:c r="J43" s="20" t="n">
        <x:f>IF(G43=0,0,H43/G43)</x:f>
        <x:v>0.4012425494615577</x:v>
      </x:c>
      <x:c r="K43" s="20" t="n">
        <x:f>IFERROR(H43/(XLOOKUP(A43,Lotes!$A$4:$A$8,Lotes!$D$4:$D$8,Premissas!$B$9)+F43),0)</x:f>
        <x:v>0.6701253556022291</x:v>
      </x:c>
      <x:c r="L43" s="19" t="str">
        <x:f>IF(E43=0,"Venda imediata",IF(E43&lt;=60,"Baixo",IF(E43&lt;=120,"Médio","Alto")))</x:f>
        <x:v>Alto</x:v>
      </x:c>
      <x:c r="M43" s="19" t="str">
        <x:f>IF(H43&lt;0,"Não comprar/tratar",IF(L43="Alto","Só se preço/pasto compensar","Viável"))</x:f>
        <x:v>Só se preço/pasto compensar</x:v>
      </x:c>
      <x:c r="N43" s="19" t="str">
        <x:f>IF(C43=12,"Testar margem incremental; não perseguir automaticamente","Comparar com giro e risco")</x:f>
        <x:v>Testar margem incremental; não perseguir automaticamente</x:v>
      </x:c>
      <x:c r="O43" s="19" t="n">
        <x:f>XLOOKUP(A43,Lotes!$A$4:$A$8,Lotes!$B$4:$B$8,0)</x:f>
        <x:v>17</x:v>
      </x:c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</x:row>
    <x:row r="44">
      <x:c r="A44" s="19" t="str">
        <x:v>Lote maior - otimista 9@</x:v>
      </x:c>
      <x:c r="B44" s="21" t="n">
        <x:v>350</x:v>
      </x:c>
      <x:c r="C44" s="23" t="n">
        <x:v>8.5</x:v>
      </x:c>
      <x:c r="D44" s="23" t="n">
        <x:f>XLOOKUP(A44,Lotes!$A$4:$A$8,Lotes!$C$4:$C$8,0)</x:f>
        <x:v>9</x:v>
      </x:c>
      <x:c r="E44" s="23" t="n">
        <x:f>MAX(0,(C44*Premissas!$B$5/Premissas!$B$4)-(D44*Premissas!$B$5/Premissas!$B$4))/SUMIFS('Cenários de GMD'!$C$4:$C$19,'Cenários de GMD'!$A$4:$A$19,"Econômica",'Cenários de GMD'!$B$4:$B$19,"Base")</x:f>
        <x:v>0</x:v>
      </x:c>
      <x:c r="F44" s="21" t="n">
        <x:f>(((D44*Premissas!$B$5/Premissas!$B$4)+(C44*Premissas!$B$5/Premissas!$B$4))/2)*(SUMIFS('Cenários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GMD'!$B$4:$B$19,"Base")*Insumos!$E$5)*E44</x:f>
        <x:v>0</x:v>
      </x:c>
      <x:c r="G44" s="21" t="n">
        <x:f>B44*C44</x:f>
        <x:v>2975</x:v>
      </x:c>
      <x:c r="H44" s="21" t="n">
        <x:f>G44-XLOOKUP(A44,Lotes!$A$4:$A$8,Lotes!$D$4:$D$8,Premissas!$B$9)-F44</x:f>
        <x:v>1025</x:v>
      </x:c>
      <x:c r="I44" s="21" t="n">
        <x:f>H44*O44</x:f>
        <x:v>17425</x:v>
      </x:c>
      <x:c r="J44" s="20" t="n">
        <x:f>IF(G44=0,0,H44/G44)</x:f>
        <x:v>0.3445378151260504</x:v>
      </x:c>
      <x:c r="K44" s="20" t="n">
        <x:f>IFERROR(H44/(XLOOKUP(A44,Lotes!$A$4:$A$8,Lotes!$D$4:$D$8,Premissas!$B$9)+F44),0)</x:f>
        <x:v>0.5256410256410257</x:v>
      </x:c>
      <x:c r="L44" s="19" t="str">
        <x:f>IF(E44=0,"Venda imediata",IF(E44&lt;=60,"Baixo",IF(E44&lt;=120,"Médio","Alto")))</x:f>
        <x:v>Venda imediata</x:v>
      </x:c>
      <x:c r="M44" s="19" t="str">
        <x:f>IF(H44&lt;0,"Não comprar/tratar",IF(L44="Alto","Só se preço/pasto compensar","Viável"))</x:f>
        <x:v>Viável</x:v>
      </x:c>
      <x:c r="N44" s="19" t="str">
        <x:f>IF(C44=12,"Testar margem incremental; não perseguir automaticamente","Comparar com giro e risco")</x:f>
        <x:v>Comparar com giro e risco</x:v>
      </x:c>
      <x:c r="O44" s="19" t="n">
        <x:f>XLOOKUP(A44,Lotes!$A$4:$A$8,Lotes!$B$4:$B$8,0)</x:f>
        <x:v>17</x:v>
      </x:c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  <x:c r="AA44" s="17"/>
      <x:c r="AB44" s="17"/>
    </x:row>
    <x:row r="45">
      <x:c r="A45" s="19" t="str">
        <x:v>Lote maior - otimista 9@</x:v>
      </x:c>
      <x:c r="B45" s="21" t="n">
        <x:v>350</x:v>
      </x:c>
      <x:c r="C45" s="23" t="n">
        <x:v>9</x:v>
      </x:c>
      <x:c r="D45" s="23" t="n">
        <x:f>XLOOKUP(A45,Lotes!$A$4:$A$8,Lotes!$C$4:$C$8,0)</x:f>
        <x:v>9</x:v>
      </x:c>
      <x:c r="E45" s="23" t="n">
        <x:f>MAX(0,(C45*Premissas!$B$5/Premissas!$B$4)-(D45*Premissas!$B$5/Premissas!$B$4))/SUMIFS('Cenários de GMD'!$C$4:$C$19,'Cenários de GMD'!$A$4:$A$19,"Econômica",'Cenários de GMD'!$B$4:$B$19,"Base")</x:f>
        <x:v>0</x:v>
      </x:c>
      <x:c r="F45" s="21" t="n">
        <x:f>(((D45*Premissas!$B$5/Premissas!$B$4)+(C45*Premissas!$B$5/Premissas!$B$4))/2)*(SUMIFS('Cenários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GMD'!$B$4:$B$19,"Base")*Insumos!$E$5)*E45</x:f>
        <x:v>0</x:v>
      </x:c>
      <x:c r="G45" s="21" t="n">
        <x:f>B45*C45</x:f>
        <x:v>3150</x:v>
      </x:c>
      <x:c r="H45" s="21" t="n">
        <x:f>G45-XLOOKUP(A45,Lotes!$A$4:$A$8,Lotes!$D$4:$D$8,Premissas!$B$9)-F45</x:f>
        <x:v>1200</x:v>
      </x:c>
      <x:c r="I45" s="21" t="n">
        <x:f>H45*O45</x:f>
        <x:v>20400</x:v>
      </x:c>
      <x:c r="J45" s="20" t="n">
        <x:f>IF(G45=0,0,H45/G45)</x:f>
        <x:v>0.38095238095238093</x:v>
      </x:c>
      <x:c r="K45" s="20" t="n">
        <x:f>IFERROR(H45/(XLOOKUP(A45,Lotes!$A$4:$A$8,Lotes!$D$4:$D$8,Premissas!$B$9)+F45),0)</x:f>
        <x:v>0.6153846153846154</x:v>
      </x:c>
      <x:c r="L45" s="19" t="str">
        <x:f>IF(E45=0,"Venda imediata",IF(E45&lt;=60,"Baixo",IF(E45&lt;=120,"Médio","Alto")))</x:f>
        <x:v>Venda imediata</x:v>
      </x:c>
      <x:c r="M45" s="19" t="str">
        <x:f>IF(H45&lt;0,"Não comprar/tratar",IF(L45="Alto","Só se preço/pasto compensar","Viável"))</x:f>
        <x:v>Viável</x:v>
      </x:c>
      <x:c r="N45" s="19" t="str">
        <x:f>IF(C45=12,"Testar margem incremental; não perseguir automaticamente","Comparar com giro e risco")</x:f>
        <x:v>Comparar com giro e risco</x:v>
      </x:c>
      <x:c r="O45" s="19" t="n">
        <x:f>XLOOKUP(A45,Lotes!$A$4:$A$8,Lotes!$B$4:$B$8,0)</x:f>
        <x:v>17</x:v>
      </x:c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  <x:c r="AA45" s="17"/>
      <x:c r="AB45" s="17"/>
    </x:row>
    <x:row r="46">
      <x:c r="A46" s="19" t="str">
        <x:v>Lote maior - otimista 9@</x:v>
      </x:c>
      <x:c r="B46" s="21" t="n">
        <x:v>350</x:v>
      </x:c>
      <x:c r="C46" s="23" t="n">
        <x:v>10.5</x:v>
      </x:c>
      <x:c r="D46" s="23" t="n">
        <x:f>XLOOKUP(A46,Lotes!$A$4:$A$8,Lotes!$C$4:$C$8,0)</x:f>
        <x:v>9</x:v>
      </x:c>
      <x:c r="E46" s="23" t="n">
        <x:f>MAX(0,(C46*Premissas!$B$5/Premissas!$B$4)-(D46*Premissas!$B$5/Premissas!$B$4))/SUMIFS('Cenários de GMD'!$C$4:$C$19,'Cenários de GMD'!$A$4:$A$19,"Econômica",'Cenários de GMD'!$B$4:$B$19,"Base")</x:f>
        <x:v>81.81818181818176</x:v>
      </x:c>
      <x:c r="F46" s="21" t="n">
        <x:f>(((D46*Premissas!$B$5/Premissas!$B$4)+(C46*Premissas!$B$5/Premissas!$B$4))/2)*(SUMIFS('Cenários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GMD'!$B$4:$B$19,"Base")*Insumos!$E$5)*E46</x:f>
        <x:v>195.50119834710728</x:v>
      </x:c>
      <x:c r="G46" s="21" t="n">
        <x:f>B46*C46</x:f>
        <x:v>3675</x:v>
      </x:c>
      <x:c r="H46" s="21" t="n">
        <x:f>G46-XLOOKUP(A46,Lotes!$A$4:$A$8,Lotes!$D$4:$D$8,Premissas!$B$9)-F46</x:f>
        <x:v>1529.4988016528928</x:v>
      </x:c>
      <x:c r="I46" s="21" t="n">
        <x:f>H46*O46</x:f>
        <x:v>26001.479628099176</x:v>
      </x:c>
      <x:c r="J46" s="20" t="n">
        <x:f>IF(G46=0,0,H46/G46)</x:f>
        <x:v>0.4161901501096307</x:v>
      </x:c>
      <x:c r="K46" s="20" t="n">
        <x:f>IFERROR(H46/(XLOOKUP(A46,Lotes!$A$4:$A$8,Lotes!$D$4:$D$8,Premissas!$B$9)+F46),0)</x:f>
        <x:v>0.7128864821102023</x:v>
      </x:c>
      <x:c r="L46" s="19" t="str">
        <x:f>IF(E46=0,"Venda imediata",IF(E46&lt;=60,"Baixo",IF(E46&lt;=120,"Médio","Alto")))</x:f>
        <x:v>Médio</x:v>
      </x:c>
      <x:c r="M46" s="19" t="str">
        <x:f>IF(H46&lt;0,"Não comprar/tratar",IF(L46="Alto","Só se preço/pasto compensar","Viável"))</x:f>
        <x:v>Viável</x:v>
      </x:c>
      <x:c r="N46" s="19" t="str">
        <x:f>IF(C46=12,"Testar margem incremental; não perseguir automaticamente","Comparar com giro e risco")</x:f>
        <x:v>Comparar com giro e risco</x:v>
      </x:c>
      <x:c r="O46" s="19" t="n">
        <x:f>XLOOKUP(A46,Lotes!$A$4:$A$8,Lotes!$B$4:$B$8,0)</x:f>
        <x:v>17</x:v>
      </x:c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  <x:c r="AA46" s="17"/>
      <x:c r="AB46" s="17"/>
    </x:row>
    <x:row r="47">
      <x:c r="A47" s="19" t="str">
        <x:v>Lote maior - otimista 9@</x:v>
      </x:c>
      <x:c r="B47" s="21" t="n">
        <x:v>350</x:v>
      </x:c>
      <x:c r="C47" s="23" t="n">
        <x:v>11</x:v>
      </x:c>
      <x:c r="D47" s="23" t="n">
        <x:f>XLOOKUP(A47,Lotes!$A$4:$A$8,Lotes!$C$4:$C$8,0)</x:f>
        <x:v>9</x:v>
      </x:c>
      <x:c r="E47" s="23" t="n">
        <x:f>MAX(0,(C47*Premissas!$B$5/Premissas!$B$4)-(D47*Premissas!$B$5/Premissas!$B$4))/SUMIFS('Cenários de GMD'!$C$4:$C$19,'Cenários de GMD'!$A$4:$A$19,"Econômica",'Cenários de GMD'!$B$4:$B$19,"Base")</x:f>
        <x:v>109.09090909090912</x:v>
      </x:c>
      <x:c r="F47" s="21" t="n">
        <x:f>(((D47*Premissas!$B$5/Premissas!$B$4)+(C47*Premissas!$B$5/Premissas!$B$4))/2)*(SUMIFS('Cenários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GMD'!$B$4:$B$19,"Base")*Insumos!$E$5)*E47</x:f>
        <x:v>267.3520661157026</x:v>
      </x:c>
      <x:c r="G47" s="21" t="n">
        <x:f>B47*C47</x:f>
        <x:v>3850</x:v>
      </x:c>
      <x:c r="H47" s="21" t="n">
        <x:f>G47-XLOOKUP(A47,Lotes!$A$4:$A$8,Lotes!$D$4:$D$8,Premissas!$B$9)-F47</x:f>
        <x:v>1632.6479338842973</x:v>
      </x:c>
      <x:c r="I47" s="21" t="n">
        <x:f>H47*O47</x:f>
        <x:v>27755.014876033056</x:v>
      </x:c>
      <x:c r="J47" s="20" t="n">
        <x:f>IF(G47=0,0,H47/G47)</x:f>
        <x:v>0.4240643984115058</x:v>
      </x:c>
      <x:c r="K47" s="20" t="n">
        <x:f>IFERROR(H47/(XLOOKUP(A47,Lotes!$A$4:$A$8,Lotes!$D$4:$D$8,Premissas!$B$9)+F47),0)</x:f>
        <x:v>0.7363052348941257</x:v>
      </x:c>
      <x:c r="L47" s="19" t="str">
        <x:f>IF(E47=0,"Venda imediata",IF(E47&lt;=60,"Baixo",IF(E47&lt;=120,"Médio","Alto")))</x:f>
        <x:v>Médio</x:v>
      </x:c>
      <x:c r="M47" s="19" t="str">
        <x:f>IF(H47&lt;0,"Não comprar/tratar",IF(L47="Alto","Só se preço/pasto compensar","Viável"))</x:f>
        <x:v>Viável</x:v>
      </x:c>
      <x:c r="N47" s="19" t="str">
        <x:f>IF(C47=12,"Testar margem incremental; não perseguir automaticamente","Comparar com giro e risco")</x:f>
        <x:v>Comparar com giro e risco</x:v>
      </x:c>
      <x:c r="O47" s="19" t="n">
        <x:f>XLOOKUP(A47,Lotes!$A$4:$A$8,Lotes!$B$4:$B$8,0)</x:f>
        <x:v>17</x:v>
      </x:c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  <x:c r="AA47" s="17"/>
      <x:c r="AB47" s="17"/>
    </x:row>
    <x:row r="48">
      <x:c r="A48" s="19" t="str">
        <x:v>Lote maior - otimista 9@</x:v>
      </x:c>
      <x:c r="B48" s="21" t="n">
        <x:v>350</x:v>
      </x:c>
      <x:c r="C48" s="23" t="n">
        <x:v>12</x:v>
      </x:c>
      <x:c r="D48" s="23" t="n">
        <x:f>XLOOKUP(A48,Lotes!$A$4:$A$8,Lotes!$C$4:$C$8,0)</x:f>
        <x:v>9</x:v>
      </x:c>
      <x:c r="E48" s="23" t="n">
        <x:f>MAX(0,(C48*Premissas!$B$5/Premissas!$B$4)-(D48*Premissas!$B$5/Premissas!$B$4))/SUMIFS('Cenários de GMD'!$C$4:$C$19,'Cenários de GMD'!$A$4:$A$19,"Econômica",'Cenários de GMD'!$B$4:$B$19,"Base")</x:f>
        <x:v>163.63636363636363</x:v>
      </x:c>
      <x:c r="F48" s="21" t="n">
        <x:f>(((D48*Premissas!$B$5/Premissas!$B$4)+(C48*Premissas!$B$5/Premissas!$B$4))/2)*(SUMIFS('Cenários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GMD'!$B$4:$B$19,"Base")*Insumos!$E$5)*E48</x:f>
        <x:v>421.0795041322314</x:v>
      </x:c>
      <x:c r="G48" s="21" t="n">
        <x:f>B48*C48</x:f>
        <x:v>4200</x:v>
      </x:c>
      <x:c r="H48" s="21" t="n">
        <x:f>G48-XLOOKUP(A48,Lotes!$A$4:$A$8,Lotes!$D$4:$D$8,Premissas!$B$9)-F48</x:f>
        <x:v>1828.9204958677685</x:v>
      </x:c>
      <x:c r="I48" s="21" t="n">
        <x:f>H48*O48</x:f>
        <x:v>31091.648429752066</x:v>
      </x:c>
      <x:c r="J48" s="20" t="n">
        <x:f>IF(G48=0,0,H48/G48)</x:f>
        <x:v>0.43545726092089726</x:v>
      </x:c>
      <x:c r="K48" s="20" t="n">
        <x:f>IFERROR(H48/(XLOOKUP(A48,Lotes!$A$4:$A$8,Lotes!$D$4:$D$8,Premissas!$B$9)+F48),0)</x:f>
        <x:v>0.7713450741235763</x:v>
      </x:c>
      <x:c r="L48" s="19" t="str">
        <x:f>IF(E48=0,"Venda imediata",IF(E48&lt;=60,"Baixo",IF(E48&lt;=120,"Médio","Alto")))</x:f>
        <x:v>Alto</x:v>
      </x:c>
      <x:c r="M48" s="19" t="str">
        <x:f>IF(H48&lt;0,"Não comprar/tratar",IF(L48="Alto","Só se preço/pasto compensar","Viável"))</x:f>
        <x:v>Só se preço/pasto compensar</x:v>
      </x:c>
      <x:c r="N48" s="19" t="str">
        <x:f>IF(C48=12,"Testar margem incremental; não perseguir automaticamente","Comparar com giro e risco")</x:f>
        <x:v>Testar margem incremental; não perseguir automaticamente</x:v>
      </x:c>
      <x:c r="O48" s="19" t="n">
        <x:f>XLOOKUP(A48,Lotes!$A$4:$A$8,Lotes!$B$4:$B$8,0)</x:f>
        <x:v>17</x:v>
      </x:c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  <x:c r="AA48" s="17"/>
      <x:c r="AB48" s="17"/>
    </x:row>
    <x:row r="49">
      <x:c r="A49" s="19" t="str">
        <x:v>Lote maior - otimista 9@</x:v>
      </x:c>
      <x:c r="B49" s="21" t="n">
        <x:v>370</x:v>
      </x:c>
      <x:c r="C49" s="23" t="n">
        <x:v>8.5</x:v>
      </x:c>
      <x:c r="D49" s="23" t="n">
        <x:f>XLOOKUP(A49,Lotes!$A$4:$A$8,Lotes!$C$4:$C$8,0)</x:f>
        <x:v>9</x:v>
      </x:c>
      <x:c r="E49" s="23" t="n">
        <x:f>MAX(0,(C49*Premissas!$B$5/Premissas!$B$4)-(D49*Premissas!$B$5/Premissas!$B$4))/SUMIFS('Cenários de GMD'!$C$4:$C$19,'Cenários de GMD'!$A$4:$A$19,"Econômica",'Cenários de GMD'!$B$4:$B$19,"Base")</x:f>
        <x:v>0</x:v>
      </x:c>
      <x:c r="F49" s="21" t="n">
        <x:f>(((D49*Premissas!$B$5/Premissas!$B$4)+(C49*Premissas!$B$5/Premissas!$B$4))/2)*(SUMIFS('Cenários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GMD'!$B$4:$B$19,"Base")*Insumos!$E$5)*E49</x:f>
        <x:v>0</x:v>
      </x:c>
      <x:c r="G49" s="21" t="n">
        <x:f>B49*C49</x:f>
        <x:v>3145</x:v>
      </x:c>
      <x:c r="H49" s="21" t="n">
        <x:f>G49-XLOOKUP(A49,Lotes!$A$4:$A$8,Lotes!$D$4:$D$8,Premissas!$B$9)-F49</x:f>
        <x:v>1195</x:v>
      </x:c>
      <x:c r="I49" s="21" t="n">
        <x:f>H49*O49</x:f>
        <x:v>20315</x:v>
      </x:c>
      <x:c r="J49" s="20" t="n">
        <x:f>IF(G49=0,0,H49/G49)</x:f>
        <x:v>0.3799682034976153</x:v>
      </x:c>
      <x:c r="K49" s="20" t="n">
        <x:f>IFERROR(H49/(XLOOKUP(A49,Lotes!$A$4:$A$8,Lotes!$D$4:$D$8,Premissas!$B$9)+F49),0)</x:f>
        <x:v>0.6128205128205129</x:v>
      </x:c>
      <x:c r="L49" s="19" t="str">
        <x:f>IF(E49=0,"Venda imediata",IF(E49&lt;=60,"Baixo",IF(E49&lt;=120,"Médio","Alto")))</x:f>
        <x:v>Venda imediata</x:v>
      </x:c>
      <x:c r="M49" s="19" t="str">
        <x:f>IF(H49&lt;0,"Não comprar/tratar",IF(L49="Alto","Só se preço/pasto compensar","Viável"))</x:f>
        <x:v>Viável</x:v>
      </x:c>
      <x:c r="N49" s="19" t="str">
        <x:f>IF(C49=12,"Testar margem incremental; não perseguir automaticamente","Comparar com giro e risco")</x:f>
        <x:v>Comparar com giro e risco</x:v>
      </x:c>
      <x:c r="O49" s="19" t="n">
        <x:f>XLOOKUP(A49,Lotes!$A$4:$A$8,Lotes!$B$4:$B$8,0)</x:f>
        <x:v>17</x:v>
      </x:c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  <x:c r="AA49" s="17"/>
      <x:c r="AB49" s="17"/>
    </x:row>
    <x:row r="50">
      <x:c r="A50" s="19" t="str">
        <x:v>Lote maior - otimista 9@</x:v>
      </x:c>
      <x:c r="B50" s="21" t="n">
        <x:v>370</x:v>
      </x:c>
      <x:c r="C50" s="23" t="n">
        <x:v>9</x:v>
      </x:c>
      <x:c r="D50" s="23" t="n">
        <x:f>XLOOKUP(A50,Lotes!$A$4:$A$8,Lotes!$C$4:$C$8,0)</x:f>
        <x:v>9</x:v>
      </x:c>
      <x:c r="E50" s="23" t="n">
        <x:f>MAX(0,(C50*Premissas!$B$5/Premissas!$B$4)-(D50*Premissas!$B$5/Premissas!$B$4))/SUMIFS('Cenários de GMD'!$C$4:$C$19,'Cenários de GMD'!$A$4:$A$19,"Econômica",'Cenários de GMD'!$B$4:$B$19,"Base")</x:f>
        <x:v>0</x:v>
      </x:c>
      <x:c r="F50" s="21" t="n">
        <x:f>(((D50*Premissas!$B$5/Premissas!$B$4)+(C50*Premissas!$B$5/Premissas!$B$4))/2)*(SUMIFS('Cenários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GMD'!$B$4:$B$19,"Base")*Insumos!$E$5)*E50</x:f>
        <x:v>0</x:v>
      </x:c>
      <x:c r="G50" s="21" t="n">
        <x:f>B50*C50</x:f>
        <x:v>3330</x:v>
      </x:c>
      <x:c r="H50" s="21" t="n">
        <x:f>G50-XLOOKUP(A50,Lotes!$A$4:$A$8,Lotes!$D$4:$D$8,Premissas!$B$9)-F50</x:f>
        <x:v>1380</x:v>
      </x:c>
      <x:c r="I50" s="21" t="n">
        <x:f>H50*O50</x:f>
        <x:v>23460</x:v>
      </x:c>
      <x:c r="J50" s="20" t="n">
        <x:f>IF(G50=0,0,H50/G50)</x:f>
        <x:v>0.4144144144144144</x:v>
      </x:c>
      <x:c r="K50" s="20" t="n">
        <x:f>IFERROR(H50/(XLOOKUP(A50,Lotes!$A$4:$A$8,Lotes!$D$4:$D$8,Premissas!$B$9)+F50),0)</x:f>
        <x:v>0.7076923076923077</x:v>
      </x:c>
      <x:c r="L50" s="19" t="str">
        <x:f>IF(E50=0,"Venda imediata",IF(E50&lt;=60,"Baixo",IF(E50&lt;=120,"Médio","Alto")))</x:f>
        <x:v>Venda imediata</x:v>
      </x:c>
      <x:c r="M50" s="19" t="str">
        <x:f>IF(H50&lt;0,"Não comprar/tratar",IF(L50="Alto","Só se preço/pasto compensar","Viável"))</x:f>
        <x:v>Viável</x:v>
      </x:c>
      <x:c r="N50" s="19" t="str">
        <x:f>IF(C50=12,"Testar margem incremental; não perseguir automaticamente","Comparar com giro e risco")</x:f>
        <x:v>Comparar com giro e risco</x:v>
      </x:c>
      <x:c r="O50" s="19" t="n">
        <x:f>XLOOKUP(A50,Lotes!$A$4:$A$8,Lotes!$B$4:$B$8,0)</x:f>
        <x:v>17</x:v>
      </x:c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</x:row>
    <x:row r="51">
      <x:c r="A51" s="19" t="str">
        <x:v>Lote maior - otimista 9@</x:v>
      </x:c>
      <x:c r="B51" s="21" t="n">
        <x:v>370</x:v>
      </x:c>
      <x:c r="C51" s="23" t="n">
        <x:v>10.5</x:v>
      </x:c>
      <x:c r="D51" s="23" t="n">
        <x:f>XLOOKUP(A51,Lotes!$A$4:$A$8,Lotes!$C$4:$C$8,0)</x:f>
        <x:v>9</x:v>
      </x:c>
      <x:c r="E51" s="23" t="n">
        <x:f>MAX(0,(C51*Premissas!$B$5/Premissas!$B$4)-(D51*Premissas!$B$5/Premissas!$B$4))/SUMIFS('Cenários de GMD'!$C$4:$C$19,'Cenários de GMD'!$A$4:$A$19,"Econômica",'Cenários de GMD'!$B$4:$B$19,"Base")</x:f>
        <x:v>81.81818181818176</x:v>
      </x:c>
      <x:c r="F51" s="21" t="n">
        <x:f>(((D51*Premissas!$B$5/Premissas!$B$4)+(C51*Premissas!$B$5/Premissas!$B$4))/2)*(SUMIFS('Cenários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GMD'!$B$4:$B$19,"Base")*Insumos!$E$5)*E51</x:f>
        <x:v>195.50119834710728</x:v>
      </x:c>
      <x:c r="G51" s="21" t="n">
        <x:f>B51*C51</x:f>
        <x:v>3885</x:v>
      </x:c>
      <x:c r="H51" s="21" t="n">
        <x:f>G51-XLOOKUP(A51,Lotes!$A$4:$A$8,Lotes!$D$4:$D$8,Premissas!$B$9)-F51</x:f>
        <x:v>1739.4988016528928</x:v>
      </x:c>
      <x:c r="I51" s="21" t="n">
        <x:f>H51*O51</x:f>
        <x:v>29571.479628099176</x:v>
      </x:c>
      <x:c r="J51" s="20" t="n">
        <x:f>IF(G51=0,0,H51/G51)</x:f>
        <x:v>0.4477474392928939</x:v>
      </x:c>
      <x:c r="K51" s="20" t="n">
        <x:f>IFERROR(H51/(XLOOKUP(A51,Lotes!$A$4:$A$8,Lotes!$D$4:$D$8,Premissas!$B$9)+F51),0)</x:f>
        <x:v>0.8107657096593568</x:v>
      </x:c>
      <x:c r="L51" s="19" t="str">
        <x:f>IF(E51=0,"Venda imediata",IF(E51&lt;=60,"Baixo",IF(E51&lt;=120,"Médio","Alto")))</x:f>
        <x:v>Médio</x:v>
      </x:c>
      <x:c r="M51" s="19" t="str">
        <x:f>IF(H51&lt;0,"Não comprar/tratar",IF(L51="Alto","Só se preço/pasto compensar","Viável"))</x:f>
        <x:v>Viável</x:v>
      </x:c>
      <x:c r="N51" s="19" t="str">
        <x:f>IF(C51=12,"Testar margem incremental; não perseguir automaticamente","Comparar com giro e risco")</x:f>
        <x:v>Comparar com giro e risco</x:v>
      </x:c>
      <x:c r="O51" s="19" t="n">
        <x:f>XLOOKUP(A51,Lotes!$A$4:$A$8,Lotes!$B$4:$B$8,0)</x:f>
        <x:v>17</x:v>
      </x:c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  <x:c r="AA51" s="17"/>
      <x:c r="AB51" s="17"/>
    </x:row>
    <x:row r="52">
      <x:c r="A52" s="19" t="str">
        <x:v>Lote maior - otimista 9@</x:v>
      </x:c>
      <x:c r="B52" s="21" t="n">
        <x:v>370</x:v>
      </x:c>
      <x:c r="C52" s="23" t="n">
        <x:v>11</x:v>
      </x:c>
      <x:c r="D52" s="23" t="n">
        <x:f>XLOOKUP(A52,Lotes!$A$4:$A$8,Lotes!$C$4:$C$8,0)</x:f>
        <x:v>9</x:v>
      </x:c>
      <x:c r="E52" s="23" t="n">
        <x:f>MAX(0,(C52*Premissas!$B$5/Premissas!$B$4)-(D52*Premissas!$B$5/Premissas!$B$4))/SUMIFS('Cenários de GMD'!$C$4:$C$19,'Cenários de GMD'!$A$4:$A$19,"Econômica",'Cenários de GMD'!$B$4:$B$19,"Base")</x:f>
        <x:v>109.09090909090912</x:v>
      </x:c>
      <x:c r="F52" s="21" t="n">
        <x:f>(((D52*Premissas!$B$5/Premissas!$B$4)+(C52*Premissas!$B$5/Premissas!$B$4))/2)*(SUMIFS('Cenários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GMD'!$B$4:$B$19,"Base")*Insumos!$E$5)*E52</x:f>
        <x:v>267.3520661157026</x:v>
      </x:c>
      <x:c r="G52" s="21" t="n">
        <x:f>B52*C52</x:f>
        <x:v>4070</x:v>
      </x:c>
      <x:c r="H52" s="21" t="n">
        <x:f>G52-XLOOKUP(A52,Lotes!$A$4:$A$8,Lotes!$D$4:$D$8,Premissas!$B$9)-F52</x:f>
        <x:v>1852.6479338842973</x:v>
      </x:c>
      <x:c r="I52" s="21" t="n">
        <x:f>H52*O52</x:f>
        <x:v>31495.014876033056</x:v>
      </x:c>
      <x:c r="J52" s="20" t="n">
        <x:f>IF(G52=0,0,H52/G52)</x:f>
        <x:v>0.4551960525514244</x:v>
      </x:c>
      <x:c r="K52" s="20" t="n">
        <x:f>IFERROR(H52/(XLOOKUP(A52,Lotes!$A$4:$A$8,Lotes!$D$4:$D$8,Premissas!$B$9)+F52),0)</x:f>
        <x:v>0.8355226768880757</x:v>
      </x:c>
      <x:c r="L52" s="19" t="str">
        <x:f>IF(E52=0,"Venda imediata",IF(E52&lt;=60,"Baixo",IF(E52&lt;=120,"Médio","Alto")))</x:f>
        <x:v>Médio</x:v>
      </x:c>
      <x:c r="M52" s="19" t="str">
        <x:f>IF(H52&lt;0,"Não comprar/tratar",IF(L52="Alto","Só se preço/pasto compensar","Viável"))</x:f>
        <x:v>Viável</x:v>
      </x:c>
      <x:c r="N52" s="19" t="str">
        <x:f>IF(C52=12,"Testar margem incremental; não perseguir automaticamente","Comparar com giro e risco")</x:f>
        <x:v>Comparar com giro e risco</x:v>
      </x:c>
      <x:c r="O52" s="19" t="n">
        <x:f>XLOOKUP(A52,Lotes!$A$4:$A$8,Lotes!$B$4:$B$8,0)</x:f>
        <x:v>17</x:v>
      </x:c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  <x:c r="AA52" s="17"/>
      <x:c r="AB52" s="17"/>
    </x:row>
    <x:row r="53">
      <x:c r="A53" s="19" t="str">
        <x:v>Lote maior - otimista 9@</x:v>
      </x:c>
      <x:c r="B53" s="21" t="n">
        <x:v>370</x:v>
      </x:c>
      <x:c r="C53" s="23" t="n">
        <x:v>12</x:v>
      </x:c>
      <x:c r="D53" s="23" t="n">
        <x:f>XLOOKUP(A53,Lotes!$A$4:$A$8,Lotes!$C$4:$C$8,0)</x:f>
        <x:v>9</x:v>
      </x:c>
      <x:c r="E53" s="23" t="n">
        <x:f>MAX(0,(C53*Premissas!$B$5/Premissas!$B$4)-(D53*Premissas!$B$5/Premissas!$B$4))/SUMIFS('Cenários de GMD'!$C$4:$C$19,'Cenários de GMD'!$A$4:$A$19,"Econômica",'Cenários de GMD'!$B$4:$B$19,"Base")</x:f>
        <x:v>163.63636363636363</x:v>
      </x:c>
      <x:c r="F53" s="21" t="n">
        <x:f>(((D53*Premissas!$B$5/Premissas!$B$4)+(C53*Premissas!$B$5/Premissas!$B$4))/2)*(SUMIFS('Cenários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GMD'!$B$4:$B$19,"Base")*Insumos!$E$5)*E53</x:f>
        <x:v>421.0795041322314</x:v>
      </x:c>
      <x:c r="G53" s="21" t="n">
        <x:f>B53*C53</x:f>
        <x:v>4440</x:v>
      </x:c>
      <x:c r="H53" s="21" t="n">
        <x:f>G53-XLOOKUP(A53,Lotes!$A$4:$A$8,Lotes!$D$4:$D$8,Premissas!$B$9)-F53</x:f>
        <x:v>2068.9204958677688</x:v>
      </x:c>
      <x:c r="I53" s="21" t="n">
        <x:f>H53*O53</x:f>
        <x:v>35171.648429752066</x:v>
      </x:c>
      <x:c r="J53" s="20" t="n">
        <x:f>IF(G53=0,0,H53/G53)</x:f>
        <x:v>0.4659730846549029</x:v>
      </x:c>
      <x:c r="K53" s="20" t="n">
        <x:f>IFERROR(H53/(XLOOKUP(A53,Lotes!$A$4:$A$8,Lotes!$D$4:$D$8,Premissas!$B$9)+F53),0)</x:f>
        <x:v>0.8725647926449237</x:v>
      </x:c>
      <x:c r="L53" s="19" t="str">
        <x:f>IF(E53=0,"Venda imediata",IF(E53&lt;=60,"Baixo",IF(E53&lt;=120,"Médio","Alto")))</x:f>
        <x:v>Alto</x:v>
      </x:c>
      <x:c r="M53" s="19" t="str">
        <x:f>IF(H53&lt;0,"Não comprar/tratar",IF(L53="Alto","Só se preço/pasto compensar","Viável"))</x:f>
        <x:v>Só se preço/pasto compensar</x:v>
      </x:c>
      <x:c r="N53" s="19" t="str">
        <x:f>IF(C53=12,"Testar margem incremental; não perseguir automaticamente","Comparar com giro e risco")</x:f>
        <x:v>Testar margem incremental; não perseguir automaticamente</x:v>
      </x:c>
      <x:c r="O53" s="19" t="n">
        <x:f>XLOOKUP(A53,Lotes!$A$4:$A$8,Lotes!$B$4:$B$8,0)</x:f>
        <x:v>17</x:v>
      </x:c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  <x:c r="AA53" s="17"/>
      <x:c r="AB53" s="17"/>
    </x:row>
    <x:row r="54">
      <x:c r="A54" s="19" t="str">
        <x:v>Grupo médio 7,75@</x:v>
      </x:c>
      <x:c r="B54" s="21" t="n">
        <x:v>300</x:v>
      </x:c>
      <x:c r="C54" s="23" t="n">
        <x:v>8.5</x:v>
      </x:c>
      <x:c r="D54" s="23" t="n">
        <x:f>XLOOKUP(A54,Lotes!$A$4:$A$8,Lotes!$C$4:$C$8,0)</x:f>
        <x:v>7.75</x:v>
      </x:c>
      <x:c r="E54" s="23" t="n">
        <x:f>MAX(0,(C54*Premissas!$B$5/Premissas!$B$4)-(D54*Premissas!$B$5/Premissas!$B$4))/SUMIFS('Cenários de GMD'!$C$4:$C$19,'Cenários de GMD'!$A$4:$A$19,"Econômica",'Cenários de GMD'!$B$4:$B$19,"Base")</x:f>
        <x:v>40.909090909090935</x:v>
      </x:c>
      <x:c r="F54" s="21" t="n">
        <x:f>(((D54*Premissas!$B$5/Premissas!$B$4)+(C54*Premissas!$B$5/Premissas!$B$4))/2)*(SUMIFS('Cenários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GMD'!$B$4:$B$19,"Base")*Insumos!$E$5)*E54</x:f>
        <x:v>81.45883264462816</x:v>
      </x:c>
      <x:c r="G54" s="21" t="n">
        <x:f>B54*C54</x:f>
        <x:v>2550</x:v>
      </x:c>
      <x:c r="H54" s="21" t="n">
        <x:f>G54-XLOOKUP(A54,Lotes!$A$4:$A$8,Lotes!$D$4:$D$8,Premissas!$B$9)-F54</x:f>
        <x:v>518.5411673553718</x:v>
      </x:c>
      <x:c r="I54" s="21" t="n">
        <x:f>H54*O54</x:f>
        <x:v>0</x:v>
      </x:c>
      <x:c r="J54" s="20" t="n">
        <x:f>IF(G54=0,0,H54/G54)</x:f>
        <x:v>0.20334947739426346</x:v>
      </x:c>
      <x:c r="K54" s="20" t="n">
        <x:f>IFERROR(H54/(XLOOKUP(A54,Lotes!$A$4:$A$8,Lotes!$D$4:$D$8,Premissas!$B$9)+F54),0)</x:f>
        <x:v>0.255255562663958</x:v>
      </x:c>
      <x:c r="L54" s="19" t="str">
        <x:f>IF(E54=0,"Venda imediata",IF(E54&lt;=60,"Baixo",IF(E54&lt;=120,"Médio","Alto")))</x:f>
        <x:v>Baixo</x:v>
      </x:c>
      <x:c r="M54" s="19" t="str">
        <x:f>IF(H54&lt;0,"Não comprar/tratar",IF(L54="Alto","Só se preço/pasto compensar","Viável"))</x:f>
        <x:v>Viável</x:v>
      </x:c>
      <x:c r="N54" s="19" t="str">
        <x:f>IF(C54=12,"Testar margem incremental; não perseguir automaticamente","Comparar com giro e risco")</x:f>
        <x:v>Comparar com giro e risco</x:v>
      </x:c>
      <x:c r="O54" s="19" t="n">
        <x:f>XLOOKUP(A54,Lotes!$A$4:$A$8,Lotes!$B$4:$B$8,0)</x:f>
        <x:v>0</x:v>
      </x:c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  <x:c r="AA54" s="17"/>
      <x:c r="AB54" s="17"/>
    </x:row>
    <x:row r="55">
      <x:c r="A55" s="19" t="str">
        <x:v>Grupo médio 7,75@</x:v>
      </x:c>
      <x:c r="B55" s="21" t="n">
        <x:v>300</x:v>
      </x:c>
      <x:c r="C55" s="23" t="n">
        <x:v>9</x:v>
      </x:c>
      <x:c r="D55" s="23" t="n">
        <x:f>XLOOKUP(A55,Lotes!$A$4:$A$8,Lotes!$C$4:$C$8,0)</x:f>
        <x:v>7.75</x:v>
      </x:c>
      <x:c r="E55" s="23" t="n">
        <x:f>MAX(0,(C55*Premissas!$B$5/Premissas!$B$4)-(D55*Premissas!$B$5/Premissas!$B$4))/SUMIFS('Cenários de GMD'!$C$4:$C$19,'Cenários de GMD'!$A$4:$A$19,"Econômica",'Cenários de GMD'!$B$4:$B$19,"Base")</x:f>
        <x:v>68.18181818181819</x:v>
      </x:c>
      <x:c r="F55" s="21" t="n">
        <x:f>(((D55*Premissas!$B$5/Premissas!$B$4)+(C55*Premissas!$B$5/Premissas!$B$4))/2)*(SUMIFS('Cenários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GMD'!$B$4:$B$19,"Base")*Insumos!$E$5)*E55</x:f>
        <x:v>139.942097107438</x:v>
      </x:c>
      <x:c r="G55" s="21" t="n">
        <x:f>B55*C55</x:f>
        <x:v>2700</x:v>
      </x:c>
      <x:c r="H55" s="21" t="n">
        <x:f>G55-XLOOKUP(A55,Lotes!$A$4:$A$8,Lotes!$D$4:$D$8,Premissas!$B$9)-F55</x:f>
        <x:v>610.057902892562</x:v>
      </x:c>
      <x:c r="I55" s="21" t="n">
        <x:f>H55*O55</x:f>
        <x:v>0</x:v>
      </x:c>
      <x:c r="J55" s="20" t="n">
        <x:f>IF(G55=0,0,H55/G55)</x:f>
        <x:v>0.2259473714416896</x:v>
      </x:c>
      <x:c r="K55" s="20" t="n">
        <x:f>IFERROR(H55/(XLOOKUP(A55,Lotes!$A$4:$A$8,Lotes!$D$4:$D$8,Premissas!$B$9)+F55),0)</x:f>
        <x:v>0.29190182050349917</x:v>
      </x:c>
      <x:c r="L55" s="19" t="str">
        <x:f>IF(E55=0,"Venda imediata",IF(E55&lt;=60,"Baixo",IF(E55&lt;=120,"Médio","Alto")))</x:f>
        <x:v>Médio</x:v>
      </x:c>
      <x:c r="M55" s="19" t="str">
        <x:f>IF(H55&lt;0,"Não comprar/tratar",IF(L55="Alto","Só se preço/pasto compensar","Viável"))</x:f>
        <x:v>Viável</x:v>
      </x:c>
      <x:c r="N55" s="19" t="str">
        <x:f>IF(C55=12,"Testar margem incremental; não perseguir automaticamente","Comparar com giro e risco")</x:f>
        <x:v>Comparar com giro e risco</x:v>
      </x:c>
      <x:c r="O55" s="19" t="n">
        <x:f>XLOOKUP(A55,Lotes!$A$4:$A$8,Lotes!$B$4:$B$8,0)</x:f>
        <x:v>0</x:v>
      </x:c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  <x:c r="AA55" s="17"/>
      <x:c r="AB55" s="17"/>
    </x:row>
    <x:row r="56">
      <x:c r="A56" s="19" t="str">
        <x:v>Grupo médio 7,75@</x:v>
      </x:c>
      <x:c r="B56" s="21" t="n">
        <x:v>300</x:v>
      </x:c>
      <x:c r="C56" s="23" t="n">
        <x:v>10.5</x:v>
      </x:c>
      <x:c r="D56" s="23" t="n">
        <x:f>XLOOKUP(A56,Lotes!$A$4:$A$8,Lotes!$C$4:$C$8,0)</x:f>
        <x:v>7.75</x:v>
      </x:c>
      <x:c r="E56" s="23" t="n">
        <x:f>MAX(0,(C56*Premissas!$B$5/Premissas!$B$4)-(D56*Premissas!$B$5/Premissas!$B$4))/SUMIFS('Cenários de GMD'!$C$4:$C$19,'Cenários de GMD'!$A$4:$A$19,"Econômica",'Cenários de GMD'!$B$4:$B$19,"Base")</x:f>
        <x:v>149.99999999999994</x:v>
      </x:c>
      <x:c r="F56" s="21" t="n">
        <x:f>(((D56*Premissas!$B$5/Premissas!$B$4)+(C56*Premissas!$B$5/Premissas!$B$4))/2)*(SUMIFS('Cenários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GMD'!$B$4:$B$19,"Base")*Insumos!$E$5)*E56</x:f>
        <x:v>335.4432954545453</x:v>
      </x:c>
      <x:c r="G56" s="21" t="n">
        <x:f>B56*C56</x:f>
        <x:v>3150</x:v>
      </x:c>
      <x:c r="H56" s="21" t="n">
        <x:f>G56-XLOOKUP(A56,Lotes!$A$4:$A$8,Lotes!$D$4:$D$8,Premissas!$B$9)-F56</x:f>
        <x:v>864.5567045454547</x:v>
      </x:c>
      <x:c r="I56" s="21" t="n">
        <x:f>H56*O56</x:f>
        <x:v>0</x:v>
      </x:c>
      <x:c r="J56" s="20" t="n">
        <x:f>IF(G56=0,0,H56/G56)</x:f>
        <x:v>0.27446244588744595</x:v>
      </x:c>
      <x:c r="K56" s="20" t="n">
        <x:f>IFERROR(H56/(XLOOKUP(A56,Lotes!$A$4:$A$8,Lotes!$D$4:$D$8,Premissas!$B$9)+F56),0)</x:f>
        <x:v>0.3782884074459198</x:v>
      </x:c>
      <x:c r="L56" s="19" t="str">
        <x:f>IF(E56=0,"Venda imediata",IF(E56&lt;=60,"Baixo",IF(E56&lt;=120,"Médio","Alto")))</x:f>
        <x:v>Alto</x:v>
      </x:c>
      <x:c r="M56" s="19" t="str">
        <x:f>IF(H56&lt;0,"Não comprar/tratar",IF(L56="Alto","Só se preço/pasto compensar","Viável"))</x:f>
        <x:v>Só se preço/pasto compensar</x:v>
      </x:c>
      <x:c r="N56" s="19" t="str">
        <x:f>IF(C56=12,"Testar margem incremental; não perseguir automaticamente","Comparar com giro e risco")</x:f>
        <x:v>Comparar com giro e risco</x:v>
      </x:c>
      <x:c r="O56" s="19" t="n">
        <x:f>XLOOKUP(A56,Lotes!$A$4:$A$8,Lotes!$B$4:$B$8,0)</x:f>
        <x:v>0</x:v>
      </x:c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  <x:c r="AA56" s="17"/>
      <x:c r="AB56" s="17"/>
    </x:row>
    <x:row r="57">
      <x:c r="A57" s="19" t="str">
        <x:v>Grupo médio 7,75@</x:v>
      </x:c>
      <x:c r="B57" s="21" t="n">
        <x:v>300</x:v>
      </x:c>
      <x:c r="C57" s="23" t="n">
        <x:v>11</x:v>
      </x:c>
      <x:c r="D57" s="23" t="n">
        <x:f>XLOOKUP(A57,Lotes!$A$4:$A$8,Lotes!$C$4:$C$8,0)</x:f>
        <x:v>7.75</x:v>
      </x:c>
      <x:c r="E57" s="23" t="n">
        <x:f>MAX(0,(C57*Premissas!$B$5/Premissas!$B$4)-(D57*Premissas!$B$5/Premissas!$B$4))/SUMIFS('Cenários de GMD'!$C$4:$C$19,'Cenários de GMD'!$A$4:$A$19,"Econômica",'Cenários de GMD'!$B$4:$B$19,"Base")</x:f>
        <x:v>177.2727272727273</x:v>
      </x:c>
      <x:c r="F57" s="21" t="n">
        <x:f>(((D57*Premissas!$B$5/Premissas!$B$4)+(C57*Premissas!$B$5/Premissas!$B$4))/2)*(SUMIFS('Cenários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GMD'!$B$4:$B$19,"Base")*Insumos!$E$5)*E57</x:f>
        <x:v>407.29416322314063</x:v>
      </x:c>
      <x:c r="G57" s="21" t="n">
        <x:f>B57*C57</x:f>
        <x:v>3300</x:v>
      </x:c>
      <x:c r="H57" s="21" t="n">
        <x:f>G57-XLOOKUP(A57,Lotes!$A$4:$A$8,Lotes!$D$4:$D$8,Premissas!$B$9)-F57</x:f>
        <x:v>942.7058367768593</x:v>
      </x:c>
      <x:c r="I57" s="21" t="n">
        <x:f>H57*O57</x:f>
        <x:v>0</x:v>
      </x:c>
      <x:c r="J57" s="20" t="n">
        <x:f>IF(G57=0,0,H57/G57)</x:f>
        <x:v>0.28566843538692704</x:v>
      </x:c>
      <x:c r="K57" s="20" t="n">
        <x:f>IFERROR(H57/(XLOOKUP(A57,Lotes!$A$4:$A$8,Lotes!$D$4:$D$8,Premissas!$B$9)+F57),0)</x:f>
        <x:v>0.39991013912658774</x:v>
      </x:c>
      <x:c r="L57" s="19" t="str">
        <x:f>IF(E57=0,"Venda imediata",IF(E57&lt;=60,"Baixo",IF(E57&lt;=120,"Médio","Alto")))</x:f>
        <x:v>Alto</x:v>
      </x:c>
      <x:c r="M57" s="19" t="str">
        <x:f>IF(H57&lt;0,"Não comprar/tratar",IF(L57="Alto","Só se preço/pasto compensar","Viável"))</x:f>
        <x:v>Só se preço/pasto compensar</x:v>
      </x:c>
      <x:c r="N57" s="19" t="str">
        <x:f>IF(C57=12,"Testar margem incremental; não perseguir automaticamente","Comparar com giro e risco")</x:f>
        <x:v>Comparar com giro e risco</x:v>
      </x:c>
      <x:c r="O57" s="19" t="n">
        <x:f>XLOOKUP(A57,Lotes!$A$4:$A$8,Lotes!$B$4:$B$8,0)</x:f>
        <x:v>0</x:v>
      </x:c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  <x:c r="AA57" s="17"/>
      <x:c r="AB57" s="17"/>
    </x:row>
    <x:row r="58">
      <x:c r="A58" s="19" t="str">
        <x:v>Grupo médio 7,75@</x:v>
      </x:c>
      <x:c r="B58" s="21" t="n">
        <x:v>300</x:v>
      </x:c>
      <x:c r="C58" s="23" t="n">
        <x:v>12</x:v>
      </x:c>
      <x:c r="D58" s="23" t="n">
        <x:f>XLOOKUP(A58,Lotes!$A$4:$A$8,Lotes!$C$4:$C$8,0)</x:f>
        <x:v>7.75</x:v>
      </x:c>
      <x:c r="E58" s="23" t="n">
        <x:f>MAX(0,(C58*Premissas!$B$5/Premissas!$B$4)-(D58*Premissas!$B$5/Premissas!$B$4))/SUMIFS('Cenários de GMD'!$C$4:$C$19,'Cenários de GMD'!$A$4:$A$19,"Econômica",'Cenários de GMD'!$B$4:$B$19,"Base")</x:f>
        <x:v>231.8181818181818</x:v>
      </x:c>
      <x:c r="F58" s="21" t="n">
        <x:f>(((D58*Premissas!$B$5/Premissas!$B$4)+(C58*Premissas!$B$5/Premissas!$B$4))/2)*(SUMIFS('Cenários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GMD'!$B$4:$B$19,"Base")*Insumos!$E$5)*E58</x:f>
        <x:v>561.0216012396694</x:v>
      </x:c>
      <x:c r="G58" s="21" t="n">
        <x:f>B58*C58</x:f>
        <x:v>3600</x:v>
      </x:c>
      <x:c r="H58" s="21" t="n">
        <x:f>G58-XLOOKUP(A58,Lotes!$A$4:$A$8,Lotes!$D$4:$D$8,Premissas!$B$9)-F58</x:f>
        <x:v>1088.9783987603305</x:v>
      </x:c>
      <x:c r="I58" s="21" t="n">
        <x:f>H58*O58</x:f>
        <x:v>0</x:v>
      </x:c>
      <x:c r="J58" s="20" t="n">
        <x:f>IF(G58=0,0,H58/G58)</x:f>
        <x:v>0.3024939996556474</x:v>
      </x:c>
      <x:c r="K58" s="20" t="n">
        <x:f>IFERROR(H58/(XLOOKUP(A58,Lotes!$A$4:$A$8,Lotes!$D$4:$D$8,Premissas!$B$9)+F58),0)</x:f>
        <x:v>0.43367942283838234</x:v>
      </x:c>
      <x:c r="L58" s="19" t="str">
        <x:f>IF(E58=0,"Venda imediata",IF(E58&lt;=60,"Baixo",IF(E58&lt;=120,"Médio","Alto")))</x:f>
        <x:v>Alto</x:v>
      </x:c>
      <x:c r="M58" s="19" t="str">
        <x:f>IF(H58&lt;0,"Não comprar/tratar",IF(L58="Alto","Só se preço/pasto compensar","Viável"))</x:f>
        <x:v>Só se preço/pasto compensar</x:v>
      </x:c>
      <x:c r="N58" s="19" t="str">
        <x:f>IF(C58=12,"Testar margem incremental; não perseguir automaticamente","Comparar com giro e risco")</x:f>
        <x:v>Testar margem incremental; não perseguir automaticamente</x:v>
      </x:c>
      <x:c r="O58" s="19" t="n">
        <x:f>XLOOKUP(A58,Lotes!$A$4:$A$8,Lotes!$B$4:$B$8,0)</x:f>
        <x:v>0</x:v>
      </x:c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  <x:c r="AA58" s="17"/>
      <x:c r="AB58" s="17"/>
    </x:row>
    <x:row r="59">
      <x:c r="A59" s="19" t="str">
        <x:v>Grupo médio 7,75@</x:v>
      </x:c>
      <x:c r="B59" s="21" t="n">
        <x:v>320</x:v>
      </x:c>
      <x:c r="C59" s="23" t="n">
        <x:v>8.5</x:v>
      </x:c>
      <x:c r="D59" s="23" t="n">
        <x:f>XLOOKUP(A59,Lotes!$A$4:$A$8,Lotes!$C$4:$C$8,0)</x:f>
        <x:v>7.75</x:v>
      </x:c>
      <x:c r="E59" s="23" t="n">
        <x:f>MAX(0,(C59*Premissas!$B$5/Premissas!$B$4)-(D59*Premissas!$B$5/Premissas!$B$4))/SUMIFS('Cenários de GMD'!$C$4:$C$19,'Cenários de GMD'!$A$4:$A$19,"Econômica",'Cenários de GMD'!$B$4:$B$19,"Base")</x:f>
        <x:v>40.909090909090935</x:v>
      </x:c>
      <x:c r="F59" s="21" t="n">
        <x:f>(((D59*Premissas!$B$5/Premissas!$B$4)+(C59*Premissas!$B$5/Premissas!$B$4))/2)*(SUMIFS('Cenários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GMD'!$B$4:$B$19,"Base")*Insumos!$E$5)*E59</x:f>
        <x:v>81.45883264462816</x:v>
      </x:c>
      <x:c r="G59" s="21" t="n">
        <x:f>B59*C59</x:f>
        <x:v>2720</x:v>
      </x:c>
      <x:c r="H59" s="21" t="n">
        <x:f>G59-XLOOKUP(A59,Lotes!$A$4:$A$8,Lotes!$D$4:$D$8,Premissas!$B$9)-F59</x:f>
        <x:v>688.5411673553718</x:v>
      </x:c>
      <x:c r="I59" s="21" t="n">
        <x:f>H59*O59</x:f>
        <x:v>0</x:v>
      </x:c>
      <x:c r="J59" s="20" t="n">
        <x:f>IF(G59=0,0,H59/G59)</x:f>
        <x:v>0.253140135057122</x:v>
      </x:c>
      <x:c r="K59" s="20" t="n">
        <x:f>IFERROR(H59/(XLOOKUP(A59,Lotes!$A$4:$A$8,Lotes!$D$4:$D$8,Premissas!$B$9)+F59),0)</x:f>
        <x:v>0.3389392668415552</x:v>
      </x:c>
      <x:c r="L59" s="19" t="str">
        <x:f>IF(E59=0,"Venda imediata",IF(E59&lt;=60,"Baixo",IF(E59&lt;=120,"Médio","Alto")))</x:f>
        <x:v>Baixo</x:v>
      </x:c>
      <x:c r="M59" s="19" t="str">
        <x:f>IF(H59&lt;0,"Não comprar/tratar",IF(L59="Alto","Só se preço/pasto compensar","Viável"))</x:f>
        <x:v>Viável</x:v>
      </x:c>
      <x:c r="N59" s="19" t="str">
        <x:f>IF(C59=12,"Testar margem incremental; não perseguir automaticamente","Comparar com giro e risco")</x:f>
        <x:v>Comparar com giro e risco</x:v>
      </x:c>
      <x:c r="O59" s="19" t="n">
        <x:f>XLOOKUP(A59,Lotes!$A$4:$A$8,Lotes!$B$4:$B$8,0)</x:f>
        <x:v>0</x:v>
      </x:c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  <x:c r="AA59" s="17"/>
      <x:c r="AB59" s="17"/>
    </x:row>
    <x:row r="60">
      <x:c r="A60" s="19" t="str">
        <x:v>Grupo médio 7,75@</x:v>
      </x:c>
      <x:c r="B60" s="21" t="n">
        <x:v>320</x:v>
      </x:c>
      <x:c r="C60" s="23" t="n">
        <x:v>9</x:v>
      </x:c>
      <x:c r="D60" s="23" t="n">
        <x:f>XLOOKUP(A60,Lotes!$A$4:$A$8,Lotes!$C$4:$C$8,0)</x:f>
        <x:v>7.75</x:v>
      </x:c>
      <x:c r="E60" s="23" t="n">
        <x:f>MAX(0,(C60*Premissas!$B$5/Premissas!$B$4)-(D60*Premissas!$B$5/Premissas!$B$4))/SUMIFS('Cenários de GMD'!$C$4:$C$19,'Cenários de GMD'!$A$4:$A$19,"Econômica",'Cenários de GMD'!$B$4:$B$19,"Base")</x:f>
        <x:v>68.18181818181819</x:v>
      </x:c>
      <x:c r="F60" s="21" t="n">
        <x:f>(((D60*Premissas!$B$5/Premissas!$B$4)+(C60*Premissas!$B$5/Premissas!$B$4))/2)*(SUMIFS('Cenários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GMD'!$B$4:$B$19,"Base")*Insumos!$E$5)*E60</x:f>
        <x:v>139.942097107438</x:v>
      </x:c>
      <x:c r="G60" s="21" t="n">
        <x:f>B60*C60</x:f>
        <x:v>2880</x:v>
      </x:c>
      <x:c r="H60" s="21" t="n">
        <x:f>G60-XLOOKUP(A60,Lotes!$A$4:$A$8,Lotes!$D$4:$D$8,Premissas!$B$9)-F60</x:f>
        <x:v>790.057902892562</x:v>
      </x:c>
      <x:c r="I60" s="21" t="n">
        <x:f>H60*O60</x:f>
        <x:v>0</x:v>
      </x:c>
      <x:c r="J60" s="20" t="n">
        <x:f>IF(G60=0,0,H60/G60)</x:f>
        <x:v>0.27432566072658404</x:v>
      </x:c>
      <x:c r="K60" s="20" t="n">
        <x:f>IFERROR(H60/(XLOOKUP(A60,Lotes!$A$4:$A$8,Lotes!$D$4:$D$8,Premissas!$B$9)+F60),0)</x:f>
        <x:v>0.3780286085370658</x:v>
      </x:c>
      <x:c r="L60" s="19" t="str">
        <x:f>IF(E60=0,"Venda imediata",IF(E60&lt;=60,"Baixo",IF(E60&lt;=120,"Médio","Alto")))</x:f>
        <x:v>Médio</x:v>
      </x:c>
      <x:c r="M60" s="19" t="str">
        <x:f>IF(H60&lt;0,"Não comprar/tratar",IF(L60="Alto","Só se preço/pasto compensar","Viável"))</x:f>
        <x:v>Viável</x:v>
      </x:c>
      <x:c r="N60" s="19" t="str">
        <x:f>IF(C60=12,"Testar margem incremental; não perseguir automaticamente","Comparar com giro e risco")</x:f>
        <x:v>Comparar com giro e risco</x:v>
      </x:c>
      <x:c r="O60" s="19" t="n">
        <x:f>XLOOKUP(A60,Lotes!$A$4:$A$8,Lotes!$B$4:$B$8,0)</x:f>
        <x:v>0</x:v>
      </x:c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  <x:c r="AA60" s="17"/>
      <x:c r="AB60" s="17"/>
    </x:row>
    <x:row r="61">
      <x:c r="A61" s="19" t="str">
        <x:v>Grupo médio 7,75@</x:v>
      </x:c>
      <x:c r="B61" s="21" t="n">
        <x:v>320</x:v>
      </x:c>
      <x:c r="C61" s="23" t="n">
        <x:v>10.5</x:v>
      </x:c>
      <x:c r="D61" s="23" t="n">
        <x:f>XLOOKUP(A61,Lotes!$A$4:$A$8,Lotes!$C$4:$C$8,0)</x:f>
        <x:v>7.75</x:v>
      </x:c>
      <x:c r="E61" s="23" t="n">
        <x:f>MAX(0,(C61*Premissas!$B$5/Premissas!$B$4)-(D61*Premissas!$B$5/Premissas!$B$4))/SUMIFS('Cenários de GMD'!$C$4:$C$19,'Cenários de GMD'!$A$4:$A$19,"Econômica",'Cenários de GMD'!$B$4:$B$19,"Base")</x:f>
        <x:v>149.99999999999994</x:v>
      </x:c>
      <x:c r="F61" s="21" t="n">
        <x:f>(((D61*Premissas!$B$5/Premissas!$B$4)+(C61*Premissas!$B$5/Premissas!$B$4))/2)*(SUMIFS('Cenários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GMD'!$B$4:$B$19,"Base")*Insumos!$E$5)*E61</x:f>
        <x:v>335.4432954545453</x:v>
      </x:c>
      <x:c r="G61" s="21" t="n">
        <x:f>B61*C61</x:f>
        <x:v>3360</x:v>
      </x:c>
      <x:c r="H61" s="21" t="n">
        <x:f>G61-XLOOKUP(A61,Lotes!$A$4:$A$8,Lotes!$D$4:$D$8,Premissas!$B$9)-F61</x:f>
        <x:v>1074.5567045454547</x:v>
      </x:c>
      <x:c r="I61" s="21" t="n">
        <x:f>H61*O61</x:f>
        <x:v>0</x:v>
      </x:c>
      <x:c r="J61" s="20" t="n">
        <x:f>IF(G61=0,0,H61/G61)</x:f>
        <x:v>0.3198085430194806</x:v>
      </x:c>
      <x:c r="K61" s="20" t="n">
        <x:f>IFERROR(H61/(XLOOKUP(A61,Lotes!$A$4:$A$8,Lotes!$D$4:$D$8,Premissas!$B$9)+F61),0)</x:f>
        <x:v>0.4701743012756478</x:v>
      </x:c>
      <x:c r="L61" s="19" t="str">
        <x:f>IF(E61=0,"Venda imediata",IF(E61&lt;=60,"Baixo",IF(E61&lt;=120,"Médio","Alto")))</x:f>
        <x:v>Alto</x:v>
      </x:c>
      <x:c r="M61" s="19" t="str">
        <x:f>IF(H61&lt;0,"Não comprar/tratar",IF(L61="Alto","Só se preço/pasto compensar","Viável"))</x:f>
        <x:v>Só se preço/pasto compensar</x:v>
      </x:c>
      <x:c r="N61" s="19" t="str">
        <x:f>IF(C61=12,"Testar margem incremental; não perseguir automaticamente","Comparar com giro e risco")</x:f>
        <x:v>Comparar com giro e risco</x:v>
      </x:c>
      <x:c r="O61" s="19" t="n">
        <x:f>XLOOKUP(A61,Lotes!$A$4:$A$8,Lotes!$B$4:$B$8,0)</x:f>
        <x:v>0</x:v>
      </x:c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  <x:c r="AA61" s="17"/>
      <x:c r="AB61" s="17"/>
    </x:row>
    <x:row r="62">
      <x:c r="A62" s="19" t="str">
        <x:v>Grupo médio 7,75@</x:v>
      </x:c>
      <x:c r="B62" s="21" t="n">
        <x:v>320</x:v>
      </x:c>
      <x:c r="C62" s="23" t="n">
        <x:v>11</x:v>
      </x:c>
      <x:c r="D62" s="23" t="n">
        <x:f>XLOOKUP(A62,Lotes!$A$4:$A$8,Lotes!$C$4:$C$8,0)</x:f>
        <x:v>7.75</x:v>
      </x:c>
      <x:c r="E62" s="23" t="n">
        <x:f>MAX(0,(C62*Premissas!$B$5/Premissas!$B$4)-(D62*Premissas!$B$5/Premissas!$B$4))/SUMIFS('Cenários de GMD'!$C$4:$C$19,'Cenários de GMD'!$A$4:$A$19,"Econômica",'Cenários de GMD'!$B$4:$B$19,"Base")</x:f>
        <x:v>177.2727272727273</x:v>
      </x:c>
      <x:c r="F62" s="21" t="n">
        <x:f>(((D62*Premissas!$B$5/Premissas!$B$4)+(C62*Premissas!$B$5/Premissas!$B$4))/2)*(SUMIFS('Cenários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GMD'!$B$4:$B$19,"Base")*Insumos!$E$5)*E62</x:f>
        <x:v>407.29416322314063</x:v>
      </x:c>
      <x:c r="G62" s="21" t="n">
        <x:f>B62*C62</x:f>
        <x:v>3520</x:v>
      </x:c>
      <x:c r="H62" s="21" t="n">
        <x:f>G62-XLOOKUP(A62,Lotes!$A$4:$A$8,Lotes!$D$4:$D$8,Premissas!$B$9)-F62</x:f>
        <x:v>1162.7058367768593</x:v>
      </x:c>
      <x:c r="I62" s="21" t="n">
        <x:f>H62*O62</x:f>
        <x:v>0</x:v>
      </x:c>
      <x:c r="J62" s="20" t="n">
        <x:f>IF(G62=0,0,H62/G62)</x:f>
        <x:v>0.3303141581752441</x:v>
      </x:c>
      <x:c r="K62" s="20" t="n">
        <x:f>IFERROR(H62/(XLOOKUP(A62,Lotes!$A$4:$A$8,Lotes!$D$4:$D$8,Premissas!$B$9)+F62),0)</x:f>
        <x:v>0.4932374817350269</x:v>
      </x:c>
      <x:c r="L62" s="19" t="str">
        <x:f>IF(E62=0,"Venda imediata",IF(E62&lt;=60,"Baixo",IF(E62&lt;=120,"Médio","Alto")))</x:f>
        <x:v>Alto</x:v>
      </x:c>
      <x:c r="M62" s="19" t="str">
        <x:f>IF(H62&lt;0,"Não comprar/tratar",IF(L62="Alto","Só se preço/pasto compensar","Viável"))</x:f>
        <x:v>Só se preço/pasto compensar</x:v>
      </x:c>
      <x:c r="N62" s="19" t="str">
        <x:f>IF(C62=12,"Testar margem incremental; não perseguir automaticamente","Comparar com giro e risco")</x:f>
        <x:v>Comparar com giro e risco</x:v>
      </x:c>
      <x:c r="O62" s="19" t="n">
        <x:f>XLOOKUP(A62,Lotes!$A$4:$A$8,Lotes!$B$4:$B$8,0)</x:f>
        <x:v>0</x:v>
      </x:c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  <x:c r="AA62" s="17"/>
      <x:c r="AB62" s="17"/>
    </x:row>
    <x:row r="63">
      <x:c r="A63" s="19" t="str">
        <x:v>Grupo médio 7,75@</x:v>
      </x:c>
      <x:c r="B63" s="21" t="n">
        <x:v>320</x:v>
      </x:c>
      <x:c r="C63" s="23" t="n">
        <x:v>12</x:v>
      </x:c>
      <x:c r="D63" s="23" t="n">
        <x:f>XLOOKUP(A63,Lotes!$A$4:$A$8,Lotes!$C$4:$C$8,0)</x:f>
        <x:v>7.75</x:v>
      </x:c>
      <x:c r="E63" s="23" t="n">
        <x:f>MAX(0,(C63*Premissas!$B$5/Premissas!$B$4)-(D63*Premissas!$B$5/Premissas!$B$4))/SUMIFS('Cenários de GMD'!$C$4:$C$19,'Cenários de GMD'!$A$4:$A$19,"Econômica",'Cenários de GMD'!$B$4:$B$19,"Base")</x:f>
        <x:v>231.8181818181818</x:v>
      </x:c>
      <x:c r="F63" s="21" t="n">
        <x:f>(((D63*Premissas!$B$5/Premissas!$B$4)+(C63*Premissas!$B$5/Premissas!$B$4))/2)*(SUMIFS('Cenários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GMD'!$B$4:$B$19,"Base")*Insumos!$E$5)*E63</x:f>
        <x:v>561.0216012396694</x:v>
      </x:c>
      <x:c r="G63" s="21" t="n">
        <x:f>B63*C63</x:f>
        <x:v>3840</x:v>
      </x:c>
      <x:c r="H63" s="21" t="n">
        <x:f>G63-XLOOKUP(A63,Lotes!$A$4:$A$8,Lotes!$D$4:$D$8,Premissas!$B$9)-F63</x:f>
        <x:v>1328.9783987603305</x:v>
      </x:c>
      <x:c r="I63" s="21" t="n">
        <x:f>H63*O63</x:f>
        <x:v>0</x:v>
      </x:c>
      <x:c r="J63" s="20" t="n">
        <x:f>IF(G63=0,0,H63/G63)</x:f>
        <x:v>0.3460881246771694</x:v>
      </x:c>
      <x:c r="K63" s="20" t="n">
        <x:f>IFERROR(H63/(XLOOKUP(A63,Lotes!$A$4:$A$8,Lotes!$D$4:$D$8,Premissas!$B$9)+F63),0)</x:f>
        <x:v>0.5292580510276078</x:v>
      </x:c>
      <x:c r="L63" s="19" t="str">
        <x:f>IF(E63=0,"Venda imediata",IF(E63&lt;=60,"Baixo",IF(E63&lt;=120,"Médio","Alto")))</x:f>
        <x:v>Alto</x:v>
      </x:c>
      <x:c r="M63" s="19" t="str">
        <x:f>IF(H63&lt;0,"Não comprar/tratar",IF(L63="Alto","Só se preço/pasto compensar","Viável"))</x:f>
        <x:v>Só se preço/pasto compensar</x:v>
      </x:c>
      <x:c r="N63" s="19" t="str">
        <x:f>IF(C63=12,"Testar margem incremental; não perseguir automaticamente","Comparar com giro e risco")</x:f>
        <x:v>Testar margem incremental; não perseguir automaticamente</x:v>
      </x:c>
      <x:c r="O63" s="19" t="n">
        <x:f>XLOOKUP(A63,Lotes!$A$4:$A$8,Lotes!$B$4:$B$8,0)</x:f>
        <x:v>0</x:v>
      </x:c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  <x:c r="AA63" s="17"/>
      <x:c r="AB63" s="17"/>
    </x:row>
    <x:row r="64">
      <x:c r="A64" s="19" t="str">
        <x:v>Grupo médio 7,75@</x:v>
      </x:c>
      <x:c r="B64" s="21" t="n">
        <x:v>330</x:v>
      </x:c>
      <x:c r="C64" s="23" t="n">
        <x:v>8.5</x:v>
      </x:c>
      <x:c r="D64" s="23" t="n">
        <x:f>XLOOKUP(A64,Lotes!$A$4:$A$8,Lotes!$C$4:$C$8,0)</x:f>
        <x:v>7.75</x:v>
      </x:c>
      <x:c r="E64" s="23" t="n">
        <x:f>MAX(0,(C64*Premissas!$B$5/Premissas!$B$4)-(D64*Premissas!$B$5/Premissas!$B$4))/SUMIFS('Cenários de GMD'!$C$4:$C$19,'Cenários de GMD'!$A$4:$A$19,"Econômica",'Cenários de GMD'!$B$4:$B$19,"Base")</x:f>
        <x:v>40.909090909090935</x:v>
      </x:c>
      <x:c r="F64" s="21" t="n">
        <x:f>(((D64*Premissas!$B$5/Premissas!$B$4)+(C64*Premissas!$B$5/Premissas!$B$4))/2)*(SUMIFS('Cenários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GMD'!$B$4:$B$19,"Base")*Insumos!$E$5)*E64</x:f>
        <x:v>81.45883264462816</x:v>
      </x:c>
      <x:c r="G64" s="21" t="n">
        <x:f>B64*C64</x:f>
        <x:v>2805</x:v>
      </x:c>
      <x:c r="H64" s="21" t="n">
        <x:f>G64-XLOOKUP(A64,Lotes!$A$4:$A$8,Lotes!$D$4:$D$8,Premissas!$B$9)-F64</x:f>
        <x:v>773.5411673553718</x:v>
      </x:c>
      <x:c r="I64" s="21" t="n">
        <x:f>H64*O64</x:f>
        <x:v>0</x:v>
      </x:c>
      <x:c r="J64" s="20" t="n">
        <x:f>IF(G64=0,0,H64/G64)</x:f>
        <x:v>0.27577225217660317</x:v>
      </x:c>
      <x:c r="K64" s="20" t="n">
        <x:f>IFERROR(H64/(XLOOKUP(A64,Lotes!$A$4:$A$8,Lotes!$D$4:$D$8,Premissas!$B$9)+F64),0)</x:f>
        <x:v>0.38078111893035377</x:v>
      </x:c>
      <x:c r="L64" s="19" t="str">
        <x:f>IF(E64=0,"Venda imediata",IF(E64&lt;=60,"Baixo",IF(E64&lt;=120,"Médio","Alto")))</x:f>
        <x:v>Baixo</x:v>
      </x:c>
      <x:c r="M64" s="19" t="str">
        <x:f>IF(H64&lt;0,"Não comprar/tratar",IF(L64="Alto","Só se preço/pasto compensar","Viável"))</x:f>
        <x:v>Viável</x:v>
      </x:c>
      <x:c r="N64" s="19" t="str">
        <x:f>IF(C64=12,"Testar margem incremental; não perseguir automaticamente","Comparar com giro e risco")</x:f>
        <x:v>Comparar com giro e risco</x:v>
      </x:c>
      <x:c r="O64" s="19" t="n">
        <x:f>XLOOKUP(A64,Lotes!$A$4:$A$8,Lotes!$B$4:$B$8,0)</x:f>
        <x:v>0</x:v>
      </x:c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  <x:c r="AA64" s="17"/>
      <x:c r="AB64" s="17"/>
    </x:row>
    <x:row r="65">
      <x:c r="A65" s="19" t="str">
        <x:v>Grupo médio 7,75@</x:v>
      </x:c>
      <x:c r="B65" s="21" t="n">
        <x:v>330</x:v>
      </x:c>
      <x:c r="C65" s="23" t="n">
        <x:v>9</x:v>
      </x:c>
      <x:c r="D65" s="23" t="n">
        <x:f>XLOOKUP(A65,Lotes!$A$4:$A$8,Lotes!$C$4:$C$8,0)</x:f>
        <x:v>7.75</x:v>
      </x:c>
      <x:c r="E65" s="23" t="n">
        <x:f>MAX(0,(C65*Premissas!$B$5/Premissas!$B$4)-(D65*Premissas!$B$5/Premissas!$B$4))/SUMIFS('Cenários de GMD'!$C$4:$C$19,'Cenários de GMD'!$A$4:$A$19,"Econômica",'Cenários de GMD'!$B$4:$B$19,"Base")</x:f>
        <x:v>68.18181818181819</x:v>
      </x:c>
      <x:c r="F65" s="21" t="n">
        <x:f>(((D65*Premissas!$B$5/Premissas!$B$4)+(C65*Premissas!$B$5/Premissas!$B$4))/2)*(SUMIFS('Cenários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GMD'!$B$4:$B$19,"Base")*Insumos!$E$5)*E65</x:f>
        <x:v>139.942097107438</x:v>
      </x:c>
      <x:c r="G65" s="21" t="n">
        <x:f>B65*C65</x:f>
        <x:v>2970</x:v>
      </x:c>
      <x:c r="H65" s="21" t="n">
        <x:f>G65-XLOOKUP(A65,Lotes!$A$4:$A$8,Lotes!$D$4:$D$8,Premissas!$B$9)-F65</x:f>
        <x:v>880.057902892562</x:v>
      </x:c>
      <x:c r="I65" s="21" t="n">
        <x:f>H65*O65</x:f>
        <x:v>0</x:v>
      </x:c>
      <x:c r="J65" s="20" t="n">
        <x:f>IF(G65=0,0,H65/G65)</x:f>
        <x:v>0.2963157922197178</x:v>
      </x:c>
      <x:c r="K65" s="20" t="n">
        <x:f>IFERROR(H65/(XLOOKUP(A65,Lotes!$A$4:$A$8,Lotes!$D$4:$D$8,Premissas!$B$9)+F65),0)</x:f>
        <x:v>0.4210920025538491</x:v>
      </x:c>
      <x:c r="L65" s="19" t="str">
        <x:f>IF(E65=0,"Venda imediata",IF(E65&lt;=60,"Baixo",IF(E65&lt;=120,"Médio","Alto")))</x:f>
        <x:v>Médio</x:v>
      </x:c>
      <x:c r="M65" s="19" t="str">
        <x:f>IF(H65&lt;0,"Não comprar/tratar",IF(L65="Alto","Só se preço/pasto compensar","Viável"))</x:f>
        <x:v>Viável</x:v>
      </x:c>
      <x:c r="N65" s="19" t="str">
        <x:f>IF(C65=12,"Testar margem incremental; não perseguir automaticamente","Comparar com giro e risco")</x:f>
        <x:v>Comparar com giro e risco</x:v>
      </x:c>
      <x:c r="O65" s="19" t="n">
        <x:f>XLOOKUP(A65,Lotes!$A$4:$A$8,Lotes!$B$4:$B$8,0)</x:f>
        <x:v>0</x:v>
      </x:c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  <x:c r="AA65" s="17"/>
      <x:c r="AB65" s="17"/>
    </x:row>
    <x:row r="66">
      <x:c r="A66" s="19" t="str">
        <x:v>Grupo médio 7,75@</x:v>
      </x:c>
      <x:c r="B66" s="21" t="n">
        <x:v>330</x:v>
      </x:c>
      <x:c r="C66" s="23" t="n">
        <x:v>10.5</x:v>
      </x:c>
      <x:c r="D66" s="23" t="n">
        <x:f>XLOOKUP(A66,Lotes!$A$4:$A$8,Lotes!$C$4:$C$8,0)</x:f>
        <x:v>7.75</x:v>
      </x:c>
      <x:c r="E66" s="23" t="n">
        <x:f>MAX(0,(C66*Premissas!$B$5/Premissas!$B$4)-(D66*Premissas!$B$5/Premissas!$B$4))/SUMIFS('Cenários de GMD'!$C$4:$C$19,'Cenários de GMD'!$A$4:$A$19,"Econômica",'Cenários de GMD'!$B$4:$B$19,"Base")</x:f>
        <x:v>149.99999999999994</x:v>
      </x:c>
      <x:c r="F66" s="21" t="n">
        <x:f>(((D66*Premissas!$B$5/Premissas!$B$4)+(C66*Premissas!$B$5/Premissas!$B$4))/2)*(SUMIFS('Cenários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GMD'!$B$4:$B$19,"Base")*Insumos!$E$5)*E66</x:f>
        <x:v>335.4432954545453</x:v>
      </x:c>
      <x:c r="G66" s="21" t="n">
        <x:f>B66*C66</x:f>
        <x:v>3465</x:v>
      </x:c>
      <x:c r="H66" s="21" t="n">
        <x:f>G66-XLOOKUP(A66,Lotes!$A$4:$A$8,Lotes!$D$4:$D$8,Premissas!$B$9)-F66</x:f>
        <x:v>1179.5567045454547</x:v>
      </x:c>
      <x:c r="I66" s="21" t="n">
        <x:f>H66*O66</x:f>
        <x:v>0</x:v>
      </x:c>
      <x:c r="J66" s="20" t="n">
        <x:f>IF(G66=0,0,H66/G66)</x:f>
        <x:v>0.3404204053522236</x:v>
      </x:c>
      <x:c r="K66" s="20" t="n">
        <x:f>IFERROR(H66/(XLOOKUP(A66,Lotes!$A$4:$A$8,Lotes!$D$4:$D$8,Premissas!$B$9)+F66),0)</x:f>
        <x:v>0.5161172481905117</x:v>
      </x:c>
      <x:c r="L66" s="19" t="str">
        <x:f>IF(E66=0,"Venda imediata",IF(E66&lt;=60,"Baixo",IF(E66&lt;=120,"Médio","Alto")))</x:f>
        <x:v>Alto</x:v>
      </x:c>
      <x:c r="M66" s="19" t="str">
        <x:f>IF(H66&lt;0,"Não comprar/tratar",IF(L66="Alto","Só se preço/pasto compensar","Viável"))</x:f>
        <x:v>Só se preço/pasto compensar</x:v>
      </x:c>
      <x:c r="N66" s="19" t="str">
        <x:f>IF(C66=12,"Testar margem incremental; não perseguir automaticamente","Comparar com giro e risco")</x:f>
        <x:v>Comparar com giro e risco</x:v>
      </x:c>
      <x:c r="O66" s="19" t="n">
        <x:f>XLOOKUP(A66,Lotes!$A$4:$A$8,Lotes!$B$4:$B$8,0)</x:f>
        <x:v>0</x:v>
      </x:c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  <x:c r="AA66" s="17"/>
      <x:c r="AB66" s="17"/>
    </x:row>
    <x:row r="67">
      <x:c r="A67" s="19" t="str">
        <x:v>Grupo médio 7,75@</x:v>
      </x:c>
      <x:c r="B67" s="21" t="n">
        <x:v>330</x:v>
      </x:c>
      <x:c r="C67" s="23" t="n">
        <x:v>11</x:v>
      </x:c>
      <x:c r="D67" s="23" t="n">
        <x:f>XLOOKUP(A67,Lotes!$A$4:$A$8,Lotes!$C$4:$C$8,0)</x:f>
        <x:v>7.75</x:v>
      </x:c>
      <x:c r="E67" s="23" t="n">
        <x:f>MAX(0,(C67*Premissas!$B$5/Premissas!$B$4)-(D67*Premissas!$B$5/Premissas!$B$4))/SUMIFS('Cenários de GMD'!$C$4:$C$19,'Cenários de GMD'!$A$4:$A$19,"Econômica",'Cenários de GMD'!$B$4:$B$19,"Base")</x:f>
        <x:v>177.2727272727273</x:v>
      </x:c>
      <x:c r="F67" s="21" t="n">
        <x:f>(((D67*Premissas!$B$5/Premissas!$B$4)+(C67*Premissas!$B$5/Premissas!$B$4))/2)*(SUMIFS('Cenários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GMD'!$B$4:$B$19,"Base")*Insumos!$E$5)*E67</x:f>
        <x:v>407.29416322314063</x:v>
      </x:c>
      <x:c r="G67" s="21" t="n">
        <x:f>B67*C67</x:f>
        <x:v>3630</x:v>
      </x:c>
      <x:c r="H67" s="21" t="n">
        <x:f>G67-XLOOKUP(A67,Lotes!$A$4:$A$8,Lotes!$D$4:$D$8,Premissas!$B$9)-F67</x:f>
        <x:v>1272.7058367768593</x:v>
      </x:c>
      <x:c r="I67" s="21" t="n">
        <x:f>H67*O67</x:f>
        <x:v>0</x:v>
      </x:c>
      <x:c r="J67" s="20" t="n">
        <x:f>IF(G67=0,0,H67/G67)</x:f>
        <x:v>0.35060766853357006</x:v>
      </x:c>
      <x:c r="K67" s="20" t="n">
        <x:f>IFERROR(H67/(XLOOKUP(A67,Lotes!$A$4:$A$8,Lotes!$D$4:$D$8,Premissas!$B$9)+F67),0)</x:f>
        <x:v>0.5399011530392465</x:v>
      </x:c>
      <x:c r="L67" s="19" t="str">
        <x:f>IF(E67=0,"Venda imediata",IF(E67&lt;=60,"Baixo",IF(E67&lt;=120,"Médio","Alto")))</x:f>
        <x:v>Alto</x:v>
      </x:c>
      <x:c r="M67" s="19" t="str">
        <x:f>IF(H67&lt;0,"Não comprar/tratar",IF(L67="Alto","Só se preço/pasto compensar","Viável"))</x:f>
        <x:v>Só se preço/pasto compensar</x:v>
      </x:c>
      <x:c r="N67" s="19" t="str">
        <x:f>IF(C67=12,"Testar margem incremental; não perseguir automaticamente","Comparar com giro e risco")</x:f>
        <x:v>Comparar com giro e risco</x:v>
      </x:c>
      <x:c r="O67" s="19" t="n">
        <x:f>XLOOKUP(A67,Lotes!$A$4:$A$8,Lotes!$B$4:$B$8,0)</x:f>
        <x:v>0</x:v>
      </x:c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</x:row>
    <x:row r="68">
      <x:c r="A68" s="19" t="str">
        <x:v>Grupo médio 7,75@</x:v>
      </x:c>
      <x:c r="B68" s="21" t="n">
        <x:v>330</x:v>
      </x:c>
      <x:c r="C68" s="23" t="n">
        <x:v>12</x:v>
      </x:c>
      <x:c r="D68" s="23" t="n">
        <x:f>XLOOKUP(A68,Lotes!$A$4:$A$8,Lotes!$C$4:$C$8,0)</x:f>
        <x:v>7.75</x:v>
      </x:c>
      <x:c r="E68" s="23" t="n">
        <x:f>MAX(0,(C68*Premissas!$B$5/Premissas!$B$4)-(D68*Premissas!$B$5/Premissas!$B$4))/SUMIFS('Cenários de GMD'!$C$4:$C$19,'Cenários de GMD'!$A$4:$A$19,"Econômica",'Cenários de GMD'!$B$4:$B$19,"Base")</x:f>
        <x:v>231.8181818181818</x:v>
      </x:c>
      <x:c r="F68" s="21" t="n">
        <x:f>(((D68*Premissas!$B$5/Premissas!$B$4)+(C68*Premissas!$B$5/Premissas!$B$4))/2)*(SUMIFS('Cenários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GMD'!$B$4:$B$19,"Base")*Insumos!$E$5)*E68</x:f>
        <x:v>561.0216012396694</x:v>
      </x:c>
      <x:c r="G68" s="21" t="n">
        <x:f>B68*C68</x:f>
        <x:v>3960</x:v>
      </x:c>
      <x:c r="H68" s="21" t="n">
        <x:f>G68-XLOOKUP(A68,Lotes!$A$4:$A$8,Lotes!$D$4:$D$8,Premissas!$B$9)-F68</x:f>
        <x:v>1448.9783987603305</x:v>
      </x:c>
      <x:c r="I68" s="21" t="n">
        <x:f>H68*O68</x:f>
        <x:v>0</x:v>
      </x:c>
      <x:c r="J68" s="20" t="n">
        <x:f>IF(G68=0,0,H68/G68)</x:f>
        <x:v>0.3659036360505885</x:v>
      </x:c>
      <x:c r="K68" s="20" t="n">
        <x:f>IFERROR(H68/(XLOOKUP(A68,Lotes!$A$4:$A$8,Lotes!$D$4:$D$8,Premissas!$B$9)+F68),0)</x:f>
        <x:v>0.5770473651222205</x:v>
      </x:c>
      <x:c r="L68" s="19" t="str">
        <x:f>IF(E68=0,"Venda imediata",IF(E68&lt;=60,"Baixo",IF(E68&lt;=120,"Médio","Alto")))</x:f>
        <x:v>Alto</x:v>
      </x:c>
      <x:c r="M68" s="19" t="str">
        <x:f>IF(H68&lt;0,"Não comprar/tratar",IF(L68="Alto","Só se preço/pasto compensar","Viável"))</x:f>
        <x:v>Só se preço/pasto compensar</x:v>
      </x:c>
      <x:c r="N68" s="19" t="str">
        <x:f>IF(C68=12,"Testar margem incremental; não perseguir automaticamente","Comparar com giro e risco")</x:f>
        <x:v>Testar margem incremental; não perseguir automaticamente</x:v>
      </x:c>
      <x:c r="O68" s="19" t="n">
        <x:f>XLOOKUP(A68,Lotes!$A$4:$A$8,Lotes!$B$4:$B$8,0)</x:f>
        <x:v>0</x:v>
      </x:c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  <x:c r="AA68" s="17"/>
      <x:c r="AB68" s="17"/>
    </x:row>
    <x:row r="69">
      <x:c r="A69" s="19" t="str">
        <x:v>Grupo médio 7,75@</x:v>
      </x:c>
      <x:c r="B69" s="21" t="n">
        <x:v>350</x:v>
      </x:c>
      <x:c r="C69" s="23" t="n">
        <x:v>8.5</x:v>
      </x:c>
      <x:c r="D69" s="23" t="n">
        <x:f>XLOOKUP(A69,Lotes!$A$4:$A$8,Lotes!$C$4:$C$8,0)</x:f>
        <x:v>7.75</x:v>
      </x:c>
      <x:c r="E69" s="23" t="n">
        <x:f>MAX(0,(C69*Premissas!$B$5/Premissas!$B$4)-(D69*Premissas!$B$5/Premissas!$B$4))/SUMIFS('Cenários de GMD'!$C$4:$C$19,'Cenários de GMD'!$A$4:$A$19,"Econômica",'Cenários de GMD'!$B$4:$B$19,"Base")</x:f>
        <x:v>40.909090909090935</x:v>
      </x:c>
      <x:c r="F69" s="21" t="n">
        <x:f>(((D69*Premissas!$B$5/Premissas!$B$4)+(C69*Premissas!$B$5/Premissas!$B$4))/2)*(SUMIFS('Cenários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GMD'!$B$4:$B$19,"Base")*Insumos!$E$5)*E69</x:f>
        <x:v>81.45883264462816</x:v>
      </x:c>
      <x:c r="G69" s="21" t="n">
        <x:f>B69*C69</x:f>
        <x:v>2975</x:v>
      </x:c>
      <x:c r="H69" s="21" t="n">
        <x:f>G69-XLOOKUP(A69,Lotes!$A$4:$A$8,Lotes!$D$4:$D$8,Premissas!$B$9)-F69</x:f>
        <x:v>943.5411673553718</x:v>
      </x:c>
      <x:c r="I69" s="21" t="n">
        <x:f>H69*O69</x:f>
        <x:v>0</x:v>
      </x:c>
      <x:c r="J69" s="20" t="n">
        <x:f>IF(G69=0,0,H69/G69)</x:f>
        <x:v>0.3171566949093687</x:v>
      </x:c>
      <x:c r="K69" s="20" t="n">
        <x:f>IFERROR(H69/(XLOOKUP(A69,Lotes!$A$4:$A$8,Lotes!$D$4:$D$8,Premissas!$B$9)+F69),0)</x:f>
        <x:v>0.46446482310795095</x:v>
      </x:c>
      <x:c r="L69" s="19" t="str">
        <x:f>IF(E69=0,"Venda imediata",IF(E69&lt;=60,"Baixo",IF(E69&lt;=120,"Médio","Alto")))</x:f>
        <x:v>Baixo</x:v>
      </x:c>
      <x:c r="M69" s="19" t="str">
        <x:f>IF(H69&lt;0,"Não comprar/tratar",IF(L69="Alto","Só se preço/pasto compensar","Viável"))</x:f>
        <x:v>Viável</x:v>
      </x:c>
      <x:c r="N69" s="19" t="str">
        <x:f>IF(C69=12,"Testar margem incremental; não perseguir automaticamente","Comparar com giro e risco")</x:f>
        <x:v>Comparar com giro e risco</x:v>
      </x:c>
      <x:c r="O69" s="19" t="n">
        <x:f>XLOOKUP(A69,Lotes!$A$4:$A$8,Lotes!$B$4:$B$8,0)</x:f>
        <x:v>0</x:v>
      </x:c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  <x:c r="AA69" s="17"/>
      <x:c r="AB69" s="17"/>
    </x:row>
    <x:row r="70">
      <x:c r="A70" s="19" t="str">
        <x:v>Grupo médio 7,75@</x:v>
      </x:c>
      <x:c r="B70" s="21" t="n">
        <x:v>350</x:v>
      </x:c>
      <x:c r="C70" s="23" t="n">
        <x:v>9</x:v>
      </x:c>
      <x:c r="D70" s="23" t="n">
        <x:f>XLOOKUP(A70,Lotes!$A$4:$A$8,Lotes!$C$4:$C$8,0)</x:f>
        <x:v>7.75</x:v>
      </x:c>
      <x:c r="E70" s="23" t="n">
        <x:f>MAX(0,(C70*Premissas!$B$5/Premissas!$B$4)-(D70*Premissas!$B$5/Premissas!$B$4))/SUMIFS('Cenários de GMD'!$C$4:$C$19,'Cenários de GMD'!$A$4:$A$19,"Econômica",'Cenários de GMD'!$B$4:$B$19,"Base")</x:f>
        <x:v>68.18181818181819</x:v>
      </x:c>
      <x:c r="F70" s="21" t="n">
        <x:f>(((D70*Premissas!$B$5/Premissas!$B$4)+(C70*Premissas!$B$5/Premissas!$B$4))/2)*(SUMIFS('Cenários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GMD'!$B$4:$B$19,"Base")*Insumos!$E$5)*E70</x:f>
        <x:v>139.942097107438</x:v>
      </x:c>
      <x:c r="G70" s="21" t="n">
        <x:f>B70*C70</x:f>
        <x:v>3150</x:v>
      </x:c>
      <x:c r="H70" s="21" t="n">
        <x:f>G70-XLOOKUP(A70,Lotes!$A$4:$A$8,Lotes!$D$4:$D$8,Premissas!$B$9)-F70</x:f>
        <x:v>1060.057902892562</x:v>
      </x:c>
      <x:c r="I70" s="21" t="n">
        <x:f>H70*O70</x:f>
        <x:v>0</x:v>
      </x:c>
      <x:c r="J70" s="20" t="n">
        <x:f>IF(G70=0,0,H70/G70)</x:f>
        <x:v>0.3365263183785911</x:v>
      </x:c>
      <x:c r="K70" s="20" t="n">
        <x:f>IFERROR(H70/(XLOOKUP(A70,Lotes!$A$4:$A$8,Lotes!$D$4:$D$8,Premissas!$B$9)+F70),0)</x:f>
        <x:v>0.5072187905874157</x:v>
      </x:c>
      <x:c r="L70" s="19" t="str">
        <x:f>IF(E70=0,"Venda imediata",IF(E70&lt;=60,"Baixo",IF(E70&lt;=120,"Médio","Alto")))</x:f>
        <x:v>Médio</x:v>
      </x:c>
      <x:c r="M70" s="19" t="str">
        <x:f>IF(H70&lt;0,"Não comprar/tratar",IF(L70="Alto","Só se preço/pasto compensar","Viável"))</x:f>
        <x:v>Viável</x:v>
      </x:c>
      <x:c r="N70" s="19" t="str">
        <x:f>IF(C70=12,"Testar margem incremental; não perseguir automaticamente","Comparar com giro e risco")</x:f>
        <x:v>Comparar com giro e risco</x:v>
      </x:c>
      <x:c r="O70" s="19" t="n">
        <x:f>XLOOKUP(A70,Lotes!$A$4:$A$8,Lotes!$B$4:$B$8,0)</x:f>
        <x:v>0</x:v>
      </x:c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  <x:c r="AA70" s="17"/>
      <x:c r="AB70" s="17"/>
    </x:row>
    <x:row r="71">
      <x:c r="A71" s="19" t="str">
        <x:v>Grupo médio 7,75@</x:v>
      </x:c>
      <x:c r="B71" s="21" t="n">
        <x:v>350</x:v>
      </x:c>
      <x:c r="C71" s="23" t="n">
        <x:v>10.5</x:v>
      </x:c>
      <x:c r="D71" s="23" t="n">
        <x:f>XLOOKUP(A71,Lotes!$A$4:$A$8,Lotes!$C$4:$C$8,0)</x:f>
        <x:v>7.75</x:v>
      </x:c>
      <x:c r="E71" s="23" t="n">
        <x:f>MAX(0,(C71*Premissas!$B$5/Premissas!$B$4)-(D71*Premissas!$B$5/Premissas!$B$4))/SUMIFS('Cenários de GMD'!$C$4:$C$19,'Cenários de GMD'!$A$4:$A$19,"Econômica",'Cenários de GMD'!$B$4:$B$19,"Base")</x:f>
        <x:v>149.99999999999994</x:v>
      </x:c>
      <x:c r="F71" s="21" t="n">
        <x:f>(((D71*Premissas!$B$5/Premissas!$B$4)+(C71*Premissas!$B$5/Premissas!$B$4))/2)*(SUMIFS('Cenários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GMD'!$B$4:$B$19,"Base")*Insumos!$E$5)*E71</x:f>
        <x:v>335.4432954545453</x:v>
      </x:c>
      <x:c r="G71" s="21" t="n">
        <x:f>B71*C71</x:f>
        <x:v>3675</x:v>
      </x:c>
      <x:c r="H71" s="21" t="n">
        <x:f>G71-XLOOKUP(A71,Lotes!$A$4:$A$8,Lotes!$D$4:$D$8,Premissas!$B$9)-F71</x:f>
        <x:v>1389.5567045454547</x:v>
      </x:c>
      <x:c r="I71" s="21" t="n">
        <x:f>H71*O71</x:f>
        <x:v>0</x:v>
      </x:c>
      <x:c r="J71" s="20" t="n">
        <x:f>IF(G71=0,0,H71/G71)</x:f>
        <x:v>0.3781106679035251</x:v>
      </x:c>
      <x:c r="K71" s="20" t="n">
        <x:f>IFERROR(H71/(XLOOKUP(A71,Lotes!$A$4:$A$8,Lotes!$D$4:$D$8,Premissas!$B$9)+F71),0)</x:f>
        <x:v>0.6080031420202398</x:v>
      </x:c>
      <x:c r="L71" s="19" t="str">
        <x:f>IF(E71=0,"Venda imediata",IF(E71&lt;=60,"Baixo",IF(E71&lt;=120,"Médio","Alto")))</x:f>
        <x:v>Alto</x:v>
      </x:c>
      <x:c r="M71" s="19" t="str">
        <x:f>IF(H71&lt;0,"Não comprar/tratar",IF(L71="Alto","Só se preço/pasto compensar","Viável"))</x:f>
        <x:v>Só se preço/pasto compensar</x:v>
      </x:c>
      <x:c r="N71" s="19" t="str">
        <x:f>IF(C71=12,"Testar margem incremental; não perseguir automaticamente","Comparar com giro e risco")</x:f>
        <x:v>Comparar com giro e risco</x:v>
      </x:c>
      <x:c r="O71" s="19" t="n">
        <x:f>XLOOKUP(A71,Lotes!$A$4:$A$8,Lotes!$B$4:$B$8,0)</x:f>
        <x:v>0</x:v>
      </x:c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  <x:c r="AA71" s="17"/>
      <x:c r="AB71" s="17"/>
    </x:row>
    <x:row r="72">
      <x:c r="A72" s="19" t="str">
        <x:v>Grupo médio 7,75@</x:v>
      </x:c>
      <x:c r="B72" s="21" t="n">
        <x:v>350</x:v>
      </x:c>
      <x:c r="C72" s="23" t="n">
        <x:v>11</x:v>
      </x:c>
      <x:c r="D72" s="23" t="n">
        <x:f>XLOOKUP(A72,Lotes!$A$4:$A$8,Lotes!$C$4:$C$8,0)</x:f>
        <x:v>7.75</x:v>
      </x:c>
      <x:c r="E72" s="23" t="n">
        <x:f>MAX(0,(C72*Premissas!$B$5/Premissas!$B$4)-(D72*Premissas!$B$5/Premissas!$B$4))/SUMIFS('Cenários de GMD'!$C$4:$C$19,'Cenários de GMD'!$A$4:$A$19,"Econômica",'Cenários de GMD'!$B$4:$B$19,"Base")</x:f>
        <x:v>177.2727272727273</x:v>
      </x:c>
      <x:c r="F72" s="21" t="n">
        <x:f>(((D72*Premissas!$B$5/Premissas!$B$4)+(C72*Premissas!$B$5/Premissas!$B$4))/2)*(SUMIFS('Cenários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GMD'!$B$4:$B$19,"Base")*Insumos!$E$5)*E72</x:f>
        <x:v>407.29416322314063</x:v>
      </x:c>
      <x:c r="G72" s="21" t="n">
        <x:f>B72*C72</x:f>
        <x:v>3850</x:v>
      </x:c>
      <x:c r="H72" s="21" t="n">
        <x:f>G72-XLOOKUP(A72,Lotes!$A$4:$A$8,Lotes!$D$4:$D$8,Premissas!$B$9)-F72</x:f>
        <x:v>1492.7058367768593</x:v>
      </x:c>
      <x:c r="I72" s="21" t="n">
        <x:f>H72*O72</x:f>
        <x:v>0</x:v>
      </x:c>
      <x:c r="J72" s="20" t="n">
        <x:f>IF(G72=0,0,H72/G72)</x:f>
        <x:v>0.3877158017602232</x:v>
      </x:c>
      <x:c r="K72" s="20" t="n">
        <x:f>IFERROR(H72/(XLOOKUP(A72,Lotes!$A$4:$A$8,Lotes!$D$4:$D$8,Premissas!$B$9)+F72),0)</x:f>
        <x:v>0.6332284956476857</x:v>
      </x:c>
      <x:c r="L72" s="19" t="str">
        <x:f>IF(E72=0,"Venda imediata",IF(E72&lt;=60,"Baixo",IF(E72&lt;=120,"Médio","Alto")))</x:f>
        <x:v>Alto</x:v>
      </x:c>
      <x:c r="M72" s="19" t="str">
        <x:f>IF(H72&lt;0,"Não comprar/tratar",IF(L72="Alto","Só se preço/pasto compensar","Viável"))</x:f>
        <x:v>Só se preço/pasto compensar</x:v>
      </x:c>
      <x:c r="N72" s="19" t="str">
        <x:f>IF(C72=12,"Testar margem incremental; não perseguir automaticamente","Comparar com giro e risco")</x:f>
        <x:v>Comparar com giro e risco</x:v>
      </x:c>
      <x:c r="O72" s="19" t="n">
        <x:f>XLOOKUP(A72,Lotes!$A$4:$A$8,Lotes!$B$4:$B$8,0)</x:f>
        <x:v>0</x:v>
      </x:c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  <x:c r="AA72" s="17"/>
      <x:c r="AB72" s="17"/>
    </x:row>
    <x:row r="73">
      <x:c r="A73" s="19" t="str">
        <x:v>Grupo médio 7,75@</x:v>
      </x:c>
      <x:c r="B73" s="21" t="n">
        <x:v>350</x:v>
      </x:c>
      <x:c r="C73" s="23" t="n">
        <x:v>12</x:v>
      </x:c>
      <x:c r="D73" s="23" t="n">
        <x:f>XLOOKUP(A73,Lotes!$A$4:$A$8,Lotes!$C$4:$C$8,0)</x:f>
        <x:v>7.75</x:v>
      </x:c>
      <x:c r="E73" s="23" t="n">
        <x:f>MAX(0,(C73*Premissas!$B$5/Premissas!$B$4)-(D73*Premissas!$B$5/Premissas!$B$4))/SUMIFS('Cenários de GMD'!$C$4:$C$19,'Cenários de GMD'!$A$4:$A$19,"Econômica",'Cenários de GMD'!$B$4:$B$19,"Base")</x:f>
        <x:v>231.8181818181818</x:v>
      </x:c>
      <x:c r="F73" s="21" t="n">
        <x:f>(((D73*Premissas!$B$5/Premissas!$B$4)+(C73*Premissas!$B$5/Premissas!$B$4))/2)*(SUMIFS('Cenários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GMD'!$B$4:$B$19,"Base")*Insumos!$E$5)*E73</x:f>
        <x:v>561.0216012396694</x:v>
      </x:c>
      <x:c r="G73" s="21" t="n">
        <x:f>B73*C73</x:f>
        <x:v>4200</x:v>
      </x:c>
      <x:c r="H73" s="21" t="n">
        <x:f>G73-XLOOKUP(A73,Lotes!$A$4:$A$8,Lotes!$D$4:$D$8,Premissas!$B$9)-F73</x:f>
        <x:v>1688.9783987603305</x:v>
      </x:c>
      <x:c r="I73" s="21" t="n">
        <x:f>H73*O73</x:f>
        <x:v>0</x:v>
      </x:c>
      <x:c r="J73" s="20" t="n">
        <x:f>IF(G73=0,0,H73/G73)</x:f>
        <x:v>0.40213771399055487</x:v>
      </x:c>
      <x:c r="K73" s="20" t="n">
        <x:f>IFERROR(H73/(XLOOKUP(A73,Lotes!$A$4:$A$8,Lotes!$D$4:$D$8,Premissas!$B$9)+F73),0)</x:f>
        <x:v>0.672625993311446</x:v>
      </x:c>
      <x:c r="L73" s="19" t="str">
        <x:f>IF(E73=0,"Venda imediata",IF(E73&lt;=60,"Baixo",IF(E73&lt;=120,"Médio","Alto")))</x:f>
        <x:v>Alto</x:v>
      </x:c>
      <x:c r="M73" s="19" t="str">
        <x:f>IF(H73&lt;0,"Não comprar/tratar",IF(L73="Alto","Só se preço/pasto compensar","Viável"))</x:f>
        <x:v>Só se preço/pasto compensar</x:v>
      </x:c>
      <x:c r="N73" s="19" t="str">
        <x:f>IF(C73=12,"Testar margem incremental; não perseguir automaticamente","Comparar com giro e risco")</x:f>
        <x:v>Testar margem incremental; não perseguir automaticamente</x:v>
      </x:c>
      <x:c r="O73" s="19" t="n">
        <x:f>XLOOKUP(A73,Lotes!$A$4:$A$8,Lotes!$B$4:$B$8,0)</x:f>
        <x:v>0</x:v>
      </x:c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</x:row>
    <x:row r="74">
      <x:c r="A74" s="19" t="str">
        <x:v>Grupo médio 7,75@</x:v>
      </x:c>
      <x:c r="B74" s="21" t="n">
        <x:v>370</x:v>
      </x:c>
      <x:c r="C74" s="23" t="n">
        <x:v>8.5</x:v>
      </x:c>
      <x:c r="D74" s="23" t="n">
        <x:f>XLOOKUP(A74,Lotes!$A$4:$A$8,Lotes!$C$4:$C$8,0)</x:f>
        <x:v>7.75</x:v>
      </x:c>
      <x:c r="E74" s="23" t="n">
        <x:f>MAX(0,(C74*Premissas!$B$5/Premissas!$B$4)-(D74*Premissas!$B$5/Premissas!$B$4))/SUMIFS('Cenários de GMD'!$C$4:$C$19,'Cenários de GMD'!$A$4:$A$19,"Econômica",'Cenários de GMD'!$B$4:$B$19,"Base")</x:f>
        <x:v>40.909090909090935</x:v>
      </x:c>
      <x:c r="F74" s="21" t="n">
        <x:f>(((D74*Premissas!$B$5/Premissas!$B$4)+(C74*Premissas!$B$5/Premissas!$B$4))/2)*(SUMIFS('Cenários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GMD'!$B$4:$B$19,"Base")*Insumos!$E$5)*E74</x:f>
        <x:v>81.45883264462816</x:v>
      </x:c>
      <x:c r="G74" s="21" t="n">
        <x:f>B74*C74</x:f>
        <x:v>3145</x:v>
      </x:c>
      <x:c r="H74" s="21" t="n">
        <x:f>G74-XLOOKUP(A74,Lotes!$A$4:$A$8,Lotes!$D$4:$D$8,Premissas!$B$9)-F74</x:f>
        <x:v>1113.5411673553717</x:v>
      </x:c>
      <x:c r="I74" s="21" t="n">
        <x:f>H74*O74</x:f>
        <x:v>0</x:v>
      </x:c>
      <x:c r="J74" s="20" t="n">
        <x:f>IF(G74=0,0,H74/G74)</x:f>
        <x:v>0.35406714383318655</x:v>
      </x:c>
      <x:c r="K74" s="20" t="n">
        <x:f>IFERROR(H74/(XLOOKUP(A74,Lotes!$A$4:$A$8,Lotes!$D$4:$D$8,Premissas!$B$9)+F74),0)</x:f>
        <x:v>0.5481485272855481</x:v>
      </x:c>
      <x:c r="L74" s="19" t="str">
        <x:f>IF(E74=0,"Venda imediata",IF(E74&lt;=60,"Baixo",IF(E74&lt;=120,"Médio","Alto")))</x:f>
        <x:v>Baixo</x:v>
      </x:c>
      <x:c r="M74" s="19" t="str">
        <x:f>IF(H74&lt;0,"Não comprar/tratar",IF(L74="Alto","Só se preço/pasto compensar","Viável"))</x:f>
        <x:v>Viável</x:v>
      </x:c>
      <x:c r="N74" s="19" t="str">
        <x:f>IF(C74=12,"Testar margem incremental; não perseguir automaticamente","Comparar com giro e risco")</x:f>
        <x:v>Comparar com giro e risco</x:v>
      </x:c>
      <x:c r="O74" s="19" t="n">
        <x:f>XLOOKUP(A74,Lotes!$A$4:$A$8,Lotes!$B$4:$B$8,0)</x:f>
        <x:v>0</x:v>
      </x:c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  <x:c r="AA74" s="17"/>
      <x:c r="AB74" s="17"/>
    </x:row>
    <x:row r="75">
      <x:c r="A75" s="19" t="str">
        <x:v>Grupo médio 7,75@</x:v>
      </x:c>
      <x:c r="B75" s="21" t="n">
        <x:v>370</x:v>
      </x:c>
      <x:c r="C75" s="23" t="n">
        <x:v>9</x:v>
      </x:c>
      <x:c r="D75" s="23" t="n">
        <x:f>XLOOKUP(A75,Lotes!$A$4:$A$8,Lotes!$C$4:$C$8,0)</x:f>
        <x:v>7.75</x:v>
      </x:c>
      <x:c r="E75" s="23" t="n">
        <x:f>MAX(0,(C75*Premissas!$B$5/Premissas!$B$4)-(D75*Premissas!$B$5/Premissas!$B$4))/SUMIFS('Cenários de GMD'!$C$4:$C$19,'Cenários de GMD'!$A$4:$A$19,"Econômica",'Cenários de GMD'!$B$4:$B$19,"Base")</x:f>
        <x:v>68.18181818181819</x:v>
      </x:c>
      <x:c r="F75" s="21" t="n">
        <x:f>(((D75*Premissas!$B$5/Premissas!$B$4)+(C75*Premissas!$B$5/Premissas!$B$4))/2)*(SUMIFS('Cenários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GMD'!$B$4:$B$19,"Base")*Insumos!$E$5)*E75</x:f>
        <x:v>139.942097107438</x:v>
      </x:c>
      <x:c r="G75" s="21" t="n">
        <x:f>B75*C75</x:f>
        <x:v>3330</x:v>
      </x:c>
      <x:c r="H75" s="21" t="n">
        <x:f>G75-XLOOKUP(A75,Lotes!$A$4:$A$8,Lotes!$D$4:$D$8,Premissas!$B$9)-F75</x:f>
        <x:v>1240.057902892562</x:v>
      </x:c>
      <x:c r="I75" s="21" t="n">
        <x:f>H75*O75</x:f>
        <x:v>0</x:v>
      </x:c>
      <x:c r="J75" s="20" t="n">
        <x:f>IF(G75=0,0,H75/G75)</x:f>
        <x:v>0.372389760628397</x:v>
      </x:c>
      <x:c r="K75" s="20" t="n">
        <x:f>IFERROR(H75/(XLOOKUP(A75,Lotes!$A$4:$A$8,Lotes!$D$4:$D$8,Premissas!$B$9)+F75),0)</x:f>
        <x:v>0.5933455786209824</x:v>
      </x:c>
      <x:c r="L75" s="19" t="str">
        <x:f>IF(E75=0,"Venda imediata",IF(E75&lt;=60,"Baixo",IF(E75&lt;=120,"Médio","Alto")))</x:f>
        <x:v>Médio</x:v>
      </x:c>
      <x:c r="M75" s="19" t="str">
        <x:f>IF(H75&lt;0,"Não comprar/tratar",IF(L75="Alto","Só se preço/pasto compensar","Viável"))</x:f>
        <x:v>Viável</x:v>
      </x:c>
      <x:c r="N75" s="19" t="str">
        <x:f>IF(C75=12,"Testar margem incremental; não perseguir automaticamente","Comparar com giro e risco")</x:f>
        <x:v>Comparar com giro e risco</x:v>
      </x:c>
      <x:c r="O75" s="19" t="n">
        <x:f>XLOOKUP(A75,Lotes!$A$4:$A$8,Lotes!$B$4:$B$8,0)</x:f>
        <x:v>0</x:v>
      </x:c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  <x:c r="AA75" s="17"/>
      <x:c r="AB75" s="17"/>
    </x:row>
    <x:row r="76">
      <x:c r="A76" s="19" t="str">
        <x:v>Grupo médio 7,75@</x:v>
      </x:c>
      <x:c r="B76" s="21" t="n">
        <x:v>370</x:v>
      </x:c>
      <x:c r="C76" s="23" t="n">
        <x:v>10.5</x:v>
      </x:c>
      <x:c r="D76" s="23" t="n">
        <x:f>XLOOKUP(A76,Lotes!$A$4:$A$8,Lotes!$C$4:$C$8,0)</x:f>
        <x:v>7.75</x:v>
      </x:c>
      <x:c r="E76" s="23" t="n">
        <x:f>MAX(0,(C76*Premissas!$B$5/Premissas!$B$4)-(D76*Premissas!$B$5/Premissas!$B$4))/SUMIFS('Cenários de GMD'!$C$4:$C$19,'Cenários de GMD'!$A$4:$A$19,"Econômica",'Cenários de GMD'!$B$4:$B$19,"Base")</x:f>
        <x:v>149.99999999999994</x:v>
      </x:c>
      <x:c r="F76" s="21" t="n">
        <x:f>(((D76*Premissas!$B$5/Premissas!$B$4)+(C76*Premissas!$B$5/Premissas!$B$4))/2)*(SUMIFS('Cenários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GMD'!$B$4:$B$19,"Base")*Insumos!$E$5)*E76</x:f>
        <x:v>335.4432954545453</x:v>
      </x:c>
      <x:c r="G76" s="21" t="n">
        <x:f>B76*C76</x:f>
        <x:v>3885</x:v>
      </x:c>
      <x:c r="H76" s="21" t="n">
        <x:f>G76-XLOOKUP(A76,Lotes!$A$4:$A$8,Lotes!$D$4:$D$8,Premissas!$B$9)-F76</x:f>
        <x:v>1599.5567045454547</x:v>
      </x:c>
      <x:c r="I76" s="21" t="n">
        <x:f>H76*O76</x:f>
        <x:v>0</x:v>
      </x:c>
      <x:c r="J76" s="20" t="n">
        <x:f>IF(G76=0,0,H76/G76)</x:f>
        <x:v>0.4117263074763075</x:v>
      </x:c>
      <x:c r="K76" s="20" t="n">
        <x:f>IFERROR(H76/(XLOOKUP(A76,Lotes!$A$4:$A$8,Lotes!$D$4:$D$8,Premissas!$B$9)+F76),0)</x:f>
        <x:v>0.6998890358499678</x:v>
      </x:c>
      <x:c r="L76" s="19" t="str">
        <x:f>IF(E76=0,"Venda imediata",IF(E76&lt;=60,"Baixo",IF(E76&lt;=120,"Médio","Alto")))</x:f>
        <x:v>Alto</x:v>
      </x:c>
      <x:c r="M76" s="19" t="str">
        <x:f>IF(H76&lt;0,"Não comprar/tratar",IF(L76="Alto","Só se preço/pasto compensar","Viável"))</x:f>
        <x:v>Só se preço/pasto compensar</x:v>
      </x:c>
      <x:c r="N76" s="19" t="str">
        <x:f>IF(C76=12,"Testar margem incremental; não perseguir automaticamente","Comparar com giro e risco")</x:f>
        <x:v>Comparar com giro e risco</x:v>
      </x:c>
      <x:c r="O76" s="19" t="n">
        <x:f>XLOOKUP(A76,Lotes!$A$4:$A$8,Lotes!$B$4:$B$8,0)</x:f>
        <x:v>0</x:v>
      </x:c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</x:row>
    <x:row r="77">
      <x:c r="A77" s="19" t="str">
        <x:v>Grupo médio 7,75@</x:v>
      </x:c>
      <x:c r="B77" s="21" t="n">
        <x:v>370</x:v>
      </x:c>
      <x:c r="C77" s="23" t="n">
        <x:v>11</x:v>
      </x:c>
      <x:c r="D77" s="23" t="n">
        <x:f>XLOOKUP(A77,Lotes!$A$4:$A$8,Lotes!$C$4:$C$8,0)</x:f>
        <x:v>7.75</x:v>
      </x:c>
      <x:c r="E77" s="23" t="n">
        <x:f>MAX(0,(C77*Premissas!$B$5/Premissas!$B$4)-(D77*Premissas!$B$5/Premissas!$B$4))/SUMIFS('Cenários de GMD'!$C$4:$C$19,'Cenários de GMD'!$A$4:$A$19,"Econômica",'Cenários de GMD'!$B$4:$B$19,"Base")</x:f>
        <x:v>177.2727272727273</x:v>
      </x:c>
      <x:c r="F77" s="21" t="n">
        <x:f>(((D77*Premissas!$B$5/Premissas!$B$4)+(C77*Premissas!$B$5/Premissas!$B$4))/2)*(SUMIFS('Cenários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GMD'!$B$4:$B$19,"Base")*Insumos!$E$5)*E77</x:f>
        <x:v>407.29416322314063</x:v>
      </x:c>
      <x:c r="G77" s="21" t="n">
        <x:f>B77*C77</x:f>
        <x:v>4070</x:v>
      </x:c>
      <x:c r="H77" s="21" t="n">
        <x:f>G77-XLOOKUP(A77,Lotes!$A$4:$A$8,Lotes!$D$4:$D$8,Premissas!$B$9)-F77</x:f>
        <x:v>1712.7058367768593</x:v>
      </x:c>
      <x:c r="I77" s="21" t="n">
        <x:f>H77*O77</x:f>
        <x:v>0</x:v>
      </x:c>
      <x:c r="J77" s="20" t="n">
        <x:f>IF(G77=0,0,H77/G77)</x:f>
        <x:v>0.42081224490831926</x:v>
      </x:c>
      <x:c r="K77" s="20" t="n">
        <x:f>IFERROR(H77/(XLOOKUP(A77,Lotes!$A$4:$A$8,Lotes!$D$4:$D$8,Premissas!$B$9)+F77),0)</x:f>
        <x:v>0.7265558382561249</x:v>
      </x:c>
      <x:c r="L77" s="19" t="str">
        <x:f>IF(E77=0,"Venda imediata",IF(E77&lt;=60,"Baixo",IF(E77&lt;=120,"Médio","Alto")))</x:f>
        <x:v>Alto</x:v>
      </x:c>
      <x:c r="M77" s="19" t="str">
        <x:f>IF(H77&lt;0,"Não comprar/tratar",IF(L77="Alto","Só se preço/pasto compensar","Viável"))</x:f>
        <x:v>Só se preço/pasto compensar</x:v>
      </x:c>
      <x:c r="N77" s="19" t="str">
        <x:f>IF(C77=12,"Testar margem incremental; não perseguir automaticamente","Comparar com giro e risco")</x:f>
        <x:v>Comparar com giro e risco</x:v>
      </x:c>
      <x:c r="O77" s="19" t="n">
        <x:f>XLOOKUP(A77,Lotes!$A$4:$A$8,Lotes!$B$4:$B$8,0)</x:f>
        <x:v>0</x:v>
      </x:c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  <x:c r="AA77" s="17"/>
      <x:c r="AB77" s="17"/>
    </x:row>
    <x:row r="78">
      <x:c r="A78" s="19" t="str">
        <x:v>Grupo médio 7,75@</x:v>
      </x:c>
      <x:c r="B78" s="21" t="n">
        <x:v>370</x:v>
      </x:c>
      <x:c r="C78" s="23" t="n">
        <x:v>12</x:v>
      </x:c>
      <x:c r="D78" s="23" t="n">
        <x:f>XLOOKUP(A78,Lotes!$A$4:$A$8,Lotes!$C$4:$C$8,0)</x:f>
        <x:v>7.75</x:v>
      </x:c>
      <x:c r="E78" s="23" t="n">
        <x:f>MAX(0,(C78*Premissas!$B$5/Premissas!$B$4)-(D78*Premissas!$B$5/Premissas!$B$4))/SUMIFS('Cenários de GMD'!$C$4:$C$19,'Cenários de GMD'!$A$4:$A$19,"Econômica",'Cenários de GMD'!$B$4:$B$19,"Base")</x:f>
        <x:v>231.8181818181818</x:v>
      </x:c>
      <x:c r="F78" s="21" t="n">
        <x:f>(((D78*Premissas!$B$5/Premissas!$B$4)+(C78*Premissas!$B$5/Premissas!$B$4))/2)*(SUMIFS('Cenários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GMD'!$B$4:$B$19,"Base")*Insumos!$E$5)*E78</x:f>
        <x:v>561.0216012396694</x:v>
      </x:c>
      <x:c r="G78" s="21" t="n">
        <x:f>B78*C78</x:f>
        <x:v>4440</x:v>
      </x:c>
      <x:c r="H78" s="21" t="n">
        <x:f>G78-XLOOKUP(A78,Lotes!$A$4:$A$8,Lotes!$D$4:$D$8,Premissas!$B$9)-F78</x:f>
        <x:v>1928.9783987603305</x:v>
      </x:c>
      <x:c r="I78" s="21" t="n">
        <x:f>H78*O78</x:f>
        <x:v>0</x:v>
      </x:c>
      <x:c r="J78" s="20" t="n">
        <x:f>IF(G78=0,0,H78/G78)</x:f>
        <x:v>0.43445459431538974</x:v>
      </x:c>
      <x:c r="K78" s="20" t="n">
        <x:f>IFERROR(H78/(XLOOKUP(A78,Lotes!$A$4:$A$8,Lotes!$D$4:$D$8,Premissas!$B$9)+F78),0)</x:f>
        <x:v>0.7682046215006716</x:v>
      </x:c>
      <x:c r="L78" s="19" t="str">
        <x:f>IF(E78=0,"Venda imediata",IF(E78&lt;=60,"Baixo",IF(E78&lt;=120,"Médio","Alto")))</x:f>
        <x:v>Alto</x:v>
      </x:c>
      <x:c r="M78" s="19" t="str">
        <x:f>IF(H78&lt;0,"Não comprar/tratar",IF(L78="Alto","Só se preço/pasto compensar","Viável"))</x:f>
        <x:v>Só se preço/pasto compensar</x:v>
      </x:c>
      <x:c r="N78" s="19" t="str">
        <x:f>IF(C78=12,"Testar margem incremental; não perseguir automaticamente","Comparar com giro e risco")</x:f>
        <x:v>Testar margem incremental; não perseguir automaticamente</x:v>
      </x:c>
      <x:c r="O78" s="19" t="n">
        <x:f>XLOOKUP(A78,Lotes!$A$4:$A$8,Lotes!$B$4:$B$8,0)</x:f>
        <x:v>0</x:v>
      </x:c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  <x:c r="AA78" s="17"/>
      <x:c r="AB78" s="17"/>
    </x:row>
    <x:row r="79">
      <x:c r="A79" s="19" t="str">
        <x:v>Bezerras pequenas 4@</x:v>
      </x:c>
      <x:c r="B79" s="21" t="n">
        <x:v>300</x:v>
      </x:c>
      <x:c r="C79" s="23" t="n">
        <x:v>8.5</x:v>
      </x:c>
      <x:c r="D79" s="23" t="n">
        <x:f>XLOOKUP(A79,Lotes!$A$4:$A$8,Lotes!$C$4:$C$8,0)</x:f>
        <x:v>4</x:v>
      </x:c>
      <x:c r="E79" s="23" t="n">
        <x:f>MAX(0,(C79*Premissas!$B$5/Premissas!$B$4)-(D79*Premissas!$B$5/Premissas!$B$4))/SUMIFS('Cenários de GMD'!$C$4:$C$19,'Cenários de GMD'!$A$4:$A$19,"Econômica",'Cenários de GMD'!$B$4:$B$19,"Base")</x:f>
        <x:v>245.45454545454547</x:v>
      </x:c>
      <x:c r="F79" s="21" t="n">
        <x:f>(((D79*Premissas!$B$5/Premissas!$B$4)+(C79*Premissas!$B$5/Premissas!$B$4))/2)*(SUMIFS('Cenários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GMD'!$B$4:$B$19,"Base")*Insumos!$E$5)*E79</x:f>
        <x:v>375.96384297520666</x:v>
      </x:c>
      <x:c r="G79" s="21" t="n">
        <x:f>B79*C79</x:f>
        <x:v>2550</x:v>
      </x:c>
      <x:c r="H79" s="21" t="n">
        <x:f>G79-XLOOKUP(A79,Lotes!$A$4:$A$8,Lotes!$D$4:$D$8,Premissas!$B$9)-F79</x:f>
        <x:v>2174.0361570247933</x:v>
      </x:c>
      <x:c r="I79" s="21" t="n">
        <x:f>H79*O79</x:f>
        <x:v>0</x:v>
      </x:c>
      <x:c r="J79" s="20" t="n">
        <x:f>IF(G79=0,0,H79/G79)</x:f>
        <x:v>0.8525631988332523</x:v>
      </x:c>
      <x:c r="K79" s="20" t="n">
        <x:f>IFERROR(H79/(XLOOKUP(A79,Lotes!$A$4:$A$8,Lotes!$D$4:$D$8,Premissas!$B$9)+F79),0)</x:f>
        <x:v>5.782567120871148</x:v>
      </x:c>
      <x:c r="L79" s="19" t="str">
        <x:f>IF(E79=0,"Venda imediata",IF(E79&lt;=60,"Baixo",IF(E79&lt;=120,"Médio","Alto")))</x:f>
        <x:v>Alto</x:v>
      </x:c>
      <x:c r="M79" s="19" t="str">
        <x:f>IF(H79&lt;0,"Não comprar/tratar",IF(L79="Alto","Só se preço/pasto compensar","Viável"))</x:f>
        <x:v>Só se preço/pasto compensar</x:v>
      </x:c>
      <x:c r="N79" s="19" t="str">
        <x:f>IF(C79=12,"Testar margem incremental; não perseguir automaticamente","Comparar com giro e risco")</x:f>
        <x:v>Comparar com giro e risco</x:v>
      </x:c>
      <x:c r="O79" s="19" t="n">
        <x:f>XLOOKUP(A79,Lotes!$A$4:$A$8,Lotes!$B$4:$B$8,0)</x:f>
        <x:v>0</x:v>
      </x:c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  <x:c r="AA79" s="17"/>
      <x:c r="AB79" s="17"/>
    </x:row>
    <x:row r="80">
      <x:c r="A80" s="19" t="str">
        <x:v>Bezerras pequenas 4@</x:v>
      </x:c>
      <x:c r="B80" s="21" t="n">
        <x:v>300</x:v>
      </x:c>
      <x:c r="C80" s="23" t="n">
        <x:v>9</x:v>
      </x:c>
      <x:c r="D80" s="23" t="n">
        <x:f>XLOOKUP(A80,Lotes!$A$4:$A$8,Lotes!$C$4:$C$8,0)</x:f>
        <x:v>4</x:v>
      </x:c>
      <x:c r="E80" s="23" t="n">
        <x:f>MAX(0,(C80*Premissas!$B$5/Premissas!$B$4)-(D80*Premissas!$B$5/Premissas!$B$4))/SUMIFS('Cenários de GMD'!$C$4:$C$19,'Cenários de GMD'!$A$4:$A$19,"Econômica",'Cenários de GMD'!$B$4:$B$19,"Base")</x:f>
        <x:v>272.72727272727275</x:v>
      </x:c>
      <x:c r="F80" s="21" t="n">
        <x:f>(((D80*Premissas!$B$5/Premissas!$B$4)+(C80*Premissas!$B$5/Premissas!$B$4))/2)*(SUMIFS('Cenários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GMD'!$B$4:$B$19,"Base")*Insumos!$E$5)*E80</x:f>
        <x:v>434.44710743801653</x:v>
      </x:c>
      <x:c r="G80" s="21" t="n">
        <x:f>B80*C80</x:f>
        <x:v>2700</x:v>
      </x:c>
      <x:c r="H80" s="21" t="n">
        <x:f>G80-XLOOKUP(A80,Lotes!$A$4:$A$8,Lotes!$D$4:$D$8,Premissas!$B$9)-F80</x:f>
        <x:v>2265.5528925619833</x:v>
      </x:c>
      <x:c r="I80" s="21" t="n">
        <x:f>H80*O80</x:f>
        <x:v>0</x:v>
      </x:c>
      <x:c r="J80" s="20" t="n">
        <x:f>IF(G80=0,0,H80/G80)</x:f>
        <x:v>0.8390936639118457</x:v>
      </x:c>
      <x:c r="K80" s="20" t="n">
        <x:f>IFERROR(H80/(XLOOKUP(A80,Lotes!$A$4:$A$8,Lotes!$D$4:$D$8,Premissas!$B$9)+F80),0)</x:f>
        <x:v>5.214795665051619</x:v>
      </x:c>
      <x:c r="L80" s="19" t="str">
        <x:f>IF(E80=0,"Venda imediata",IF(E80&lt;=60,"Baixo",IF(E80&lt;=120,"Médio","Alto")))</x:f>
        <x:v>Alto</x:v>
      </x:c>
      <x:c r="M80" s="19" t="str">
        <x:f>IF(H80&lt;0,"Não comprar/tratar",IF(L80="Alto","Só se preço/pasto compensar","Viável"))</x:f>
        <x:v>Só se preço/pasto compensar</x:v>
      </x:c>
      <x:c r="N80" s="19" t="str">
        <x:f>IF(C80=12,"Testar margem incremental; não perseguir automaticamente","Comparar com giro e risco")</x:f>
        <x:v>Comparar com giro e risco</x:v>
      </x:c>
      <x:c r="O80" s="19" t="n">
        <x:f>XLOOKUP(A80,Lotes!$A$4:$A$8,Lotes!$B$4:$B$8,0)</x:f>
        <x:v>0</x:v>
      </x:c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  <x:c r="AA80" s="17"/>
      <x:c r="AB80" s="17"/>
    </x:row>
    <x:row r="81">
      <x:c r="A81" s="19" t="str">
        <x:v>Bezerras pequenas 4@</x:v>
      </x:c>
      <x:c r="B81" s="21" t="n">
        <x:v>300</x:v>
      </x:c>
      <x:c r="C81" s="23" t="n">
        <x:v>10.5</x:v>
      </x:c>
      <x:c r="D81" s="23" t="n">
        <x:f>XLOOKUP(A81,Lotes!$A$4:$A$8,Lotes!$C$4:$C$8,0)</x:f>
        <x:v>4</x:v>
      </x:c>
      <x:c r="E81" s="23" t="n">
        <x:f>MAX(0,(C81*Premissas!$B$5/Premissas!$B$4)-(D81*Premissas!$B$5/Premissas!$B$4))/SUMIFS('Cenários de GMD'!$C$4:$C$19,'Cenários de GMD'!$A$4:$A$19,"Econômica",'Cenários de GMD'!$B$4:$B$19,"Base")</x:f>
        <x:v>354.5454545454545</x:v>
      </x:c>
      <x:c r="F81" s="21" t="n">
        <x:f>(((D81*Premissas!$B$5/Premissas!$B$4)+(C81*Premissas!$B$5/Premissas!$B$4))/2)*(SUMIFS('Cenários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GMD'!$B$4:$B$19,"Base")*Insumos!$E$5)*E81</x:f>
        <x:v>629.9483057851238</x:v>
      </x:c>
      <x:c r="G81" s="21" t="n">
        <x:f>B81*C81</x:f>
        <x:v>3150</x:v>
      </x:c>
      <x:c r="H81" s="21" t="n">
        <x:f>G81-XLOOKUP(A81,Lotes!$A$4:$A$8,Lotes!$D$4:$D$8,Premissas!$B$9)-F81</x:f>
        <x:v>2520.051694214876</x:v>
      </x:c>
      <x:c r="I81" s="21" t="n">
        <x:f>H81*O81</x:f>
        <x:v>0</x:v>
      </x:c>
      <x:c r="J81" s="20" t="n">
        <x:f>IF(G81=0,0,H81/G81)</x:f>
        <x:v>0.8000164108618654</x:v>
      </x:c>
      <x:c r="K81" s="20" t="n">
        <x:f>IFERROR(H81/(XLOOKUP(A81,Lotes!$A$4:$A$8,Lotes!$D$4:$D$8,Premissas!$B$9)+F81),0)</x:f>
        <x:v>4.000410305213947</x:v>
      </x:c>
      <x:c r="L81" s="19" t="str">
        <x:f>IF(E81=0,"Venda imediata",IF(E81&lt;=60,"Baixo",IF(E81&lt;=120,"Médio","Alto")))</x:f>
        <x:v>Alto</x:v>
      </x:c>
      <x:c r="M81" s="19" t="str">
        <x:f>IF(H81&lt;0,"Não comprar/tratar",IF(L81="Alto","Só se preço/pasto compensar","Viável"))</x:f>
        <x:v>Só se preço/pasto compensar</x:v>
      </x:c>
      <x:c r="N81" s="19" t="str">
        <x:f>IF(C81=12,"Testar margem incremental; não perseguir automaticamente","Comparar com giro e risco")</x:f>
        <x:v>Comparar com giro e risco</x:v>
      </x:c>
      <x:c r="O81" s="19" t="n">
        <x:f>XLOOKUP(A81,Lotes!$A$4:$A$8,Lotes!$B$4:$B$8,0)</x:f>
        <x:v>0</x:v>
      </x:c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  <x:c r="AA81" s="17"/>
      <x:c r="AB81" s="17"/>
    </x:row>
    <x:row r="82">
      <x:c r="A82" s="19" t="str">
        <x:v>Bezerras pequenas 4@</x:v>
      </x:c>
      <x:c r="B82" s="21" t="n">
        <x:v>300</x:v>
      </x:c>
      <x:c r="C82" s="23" t="n">
        <x:v>11</x:v>
      </x:c>
      <x:c r="D82" s="23" t="n">
        <x:f>XLOOKUP(A82,Lotes!$A$4:$A$8,Lotes!$C$4:$C$8,0)</x:f>
        <x:v>4</x:v>
      </x:c>
      <x:c r="E82" s="23" t="n">
        <x:f>MAX(0,(C82*Premissas!$B$5/Premissas!$B$4)-(D82*Premissas!$B$5/Premissas!$B$4))/SUMIFS('Cenários de GMD'!$C$4:$C$19,'Cenários de GMD'!$A$4:$A$19,"Econômica",'Cenários de GMD'!$B$4:$B$19,"Base")</x:f>
        <x:v>381.81818181818187</x:v>
      </x:c>
      <x:c r="F82" s="21" t="n">
        <x:f>(((D82*Premissas!$B$5/Premissas!$B$4)+(C82*Premissas!$B$5/Premissas!$B$4))/2)*(SUMIFS('Cenários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GMD'!$B$4:$B$19,"Base")*Insumos!$E$5)*E82</x:f>
        <x:v>701.7991735537191</x:v>
      </x:c>
      <x:c r="G82" s="21" t="n">
        <x:f>B82*C82</x:f>
        <x:v>3300</x:v>
      </x:c>
      <x:c r="H82" s="21" t="n">
        <x:f>G82-XLOOKUP(A82,Lotes!$A$4:$A$8,Lotes!$D$4:$D$8,Premissas!$B$9)-F82</x:f>
        <x:v>2598.200826446281</x:v>
      </x:c>
      <x:c r="I82" s="21" t="n">
        <x:f>H82*O82</x:f>
        <x:v>0</x:v>
      </x:c>
      <x:c r="J82" s="20" t="n">
        <x:f>IF(G82=0,0,H82/G82)</x:f>
        <x:v>0.7873335837716003</x:v>
      </x:c>
      <x:c r="K82" s="20" t="n">
        <x:f>IFERROR(H82/(XLOOKUP(A82,Lotes!$A$4:$A$8,Lotes!$D$4:$D$8,Premissas!$B$9)+F82),0)</x:f>
        <x:v>3.702199894721595</x:v>
      </x:c>
      <x:c r="L82" s="19" t="str">
        <x:f>IF(E82=0,"Venda imediata",IF(E82&lt;=60,"Baixo",IF(E82&lt;=120,"Médio","Alto")))</x:f>
        <x:v>Alto</x:v>
      </x:c>
      <x:c r="M82" s="19" t="str">
        <x:f>IF(H82&lt;0,"Não comprar/tratar",IF(L82="Alto","Só se preço/pasto compensar","Viável"))</x:f>
        <x:v>Só se preço/pasto compensar</x:v>
      </x:c>
      <x:c r="N82" s="19" t="str">
        <x:f>IF(C82=12,"Testar margem incremental; não perseguir automaticamente","Comparar com giro e risco")</x:f>
        <x:v>Comparar com giro e risco</x:v>
      </x:c>
      <x:c r="O82" s="19" t="n">
        <x:f>XLOOKUP(A82,Lotes!$A$4:$A$8,Lotes!$B$4:$B$8,0)</x:f>
        <x:v>0</x:v>
      </x:c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  <x:c r="AA82" s="17"/>
      <x:c r="AB82" s="17"/>
    </x:row>
    <x:row r="83">
      <x:c r="A83" s="19" t="str">
        <x:v>Bezerras pequenas 4@</x:v>
      </x:c>
      <x:c r="B83" s="21" t="n">
        <x:v>300</x:v>
      </x:c>
      <x:c r="C83" s="23" t="n">
        <x:v>12</x:v>
      </x:c>
      <x:c r="D83" s="23" t="n">
        <x:f>XLOOKUP(A83,Lotes!$A$4:$A$8,Lotes!$C$4:$C$8,0)</x:f>
        <x:v>4</x:v>
      </x:c>
      <x:c r="E83" s="23" t="n">
        <x:f>MAX(0,(C83*Premissas!$B$5/Premissas!$B$4)-(D83*Premissas!$B$5/Premissas!$B$4))/SUMIFS('Cenários de GMD'!$C$4:$C$19,'Cenários de GMD'!$A$4:$A$19,"Econômica",'Cenários de GMD'!$B$4:$B$19,"Base")</x:f>
        <x:v>436.3636363636364</x:v>
      </x:c>
      <x:c r="F83" s="21" t="n">
        <x:f>(((D83*Premissas!$B$5/Premissas!$B$4)+(C83*Premissas!$B$5/Premissas!$B$4))/2)*(SUMIFS('Cenários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GMD'!$B$4:$B$19,"Base")*Insumos!$E$5)*E83</x:f>
        <x:v>855.526611570248</x:v>
      </x:c>
      <x:c r="G83" s="21" t="n">
        <x:f>B83*C83</x:f>
        <x:v>3600</x:v>
      </x:c>
      <x:c r="H83" s="21" t="n">
        <x:f>G83-XLOOKUP(A83,Lotes!$A$4:$A$8,Lotes!$D$4:$D$8,Premissas!$B$9)-F83</x:f>
        <x:v>2744.473388429752</x:v>
      </x:c>
      <x:c r="I83" s="21" t="n">
        <x:f>H83*O83</x:f>
        <x:v>0</x:v>
      </x:c>
      <x:c r="J83" s="20" t="n">
        <x:f>IF(G83=0,0,H83/G83)</x:f>
        <x:v>0.7623537190082644</x:v>
      </x:c>
      <x:c r="K83" s="20" t="n">
        <x:f>IFERROR(H83/(XLOOKUP(A83,Lotes!$A$4:$A$8,Lotes!$D$4:$D$8,Premissas!$B$9)+F83),0)</x:f>
        <x:v>3.2079345648787</x:v>
      </x:c>
      <x:c r="L83" s="19" t="str">
        <x:f>IF(E83=0,"Venda imediata",IF(E83&lt;=60,"Baixo",IF(E83&lt;=120,"Médio","Alto")))</x:f>
        <x:v>Alto</x:v>
      </x:c>
      <x:c r="M83" s="19" t="str">
        <x:f>IF(H83&lt;0,"Não comprar/tratar",IF(L83="Alto","Só se preço/pasto compensar","Viável"))</x:f>
        <x:v>Só se preço/pasto compensar</x:v>
      </x:c>
      <x:c r="N83" s="19" t="str">
        <x:f>IF(C83=12,"Testar margem incremental; não perseguir automaticamente","Comparar com giro e risco")</x:f>
        <x:v>Testar margem incremental; não perseguir automaticamente</x:v>
      </x:c>
      <x:c r="O83" s="19" t="n">
        <x:f>XLOOKUP(A83,Lotes!$A$4:$A$8,Lotes!$B$4:$B$8,0)</x:f>
        <x:v>0</x:v>
      </x:c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  <x:c r="AA83" s="17"/>
      <x:c r="AB83" s="17"/>
    </x:row>
    <x:row r="84">
      <x:c r="A84" s="19" t="str">
        <x:v>Bezerras pequenas 4@</x:v>
      </x:c>
      <x:c r="B84" s="21" t="n">
        <x:v>320</x:v>
      </x:c>
      <x:c r="C84" s="23" t="n">
        <x:v>8.5</x:v>
      </x:c>
      <x:c r="D84" s="23" t="n">
        <x:f>XLOOKUP(A84,Lotes!$A$4:$A$8,Lotes!$C$4:$C$8,0)</x:f>
        <x:v>4</x:v>
      </x:c>
      <x:c r="E84" s="23" t="n">
        <x:f>MAX(0,(C84*Premissas!$B$5/Premissas!$B$4)-(D84*Premissas!$B$5/Premissas!$B$4))/SUMIFS('Cenários de GMD'!$C$4:$C$19,'Cenários de GMD'!$A$4:$A$19,"Econômica",'Cenários de GMD'!$B$4:$B$19,"Base")</x:f>
        <x:v>245.45454545454547</x:v>
      </x:c>
      <x:c r="F84" s="21" t="n">
        <x:f>(((D84*Premissas!$B$5/Premissas!$B$4)+(C84*Premissas!$B$5/Premissas!$B$4))/2)*(SUMIFS('Cenários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GMD'!$B$4:$B$19,"Base")*Insumos!$E$5)*E84</x:f>
        <x:v>375.96384297520666</x:v>
      </x:c>
      <x:c r="G84" s="21" t="n">
        <x:f>B84*C84</x:f>
        <x:v>2720</x:v>
      </x:c>
      <x:c r="H84" s="21" t="n">
        <x:f>G84-XLOOKUP(A84,Lotes!$A$4:$A$8,Lotes!$D$4:$D$8,Premissas!$B$9)-F84</x:f>
        <x:v>2344.0361570247933</x:v>
      </x:c>
      <x:c r="I84" s="21" t="n">
        <x:f>H84*O84</x:f>
        <x:v>0</x:v>
      </x:c>
      <x:c r="J84" s="20" t="n">
        <x:f>IF(G84=0,0,H84/G84)</x:f>
        <x:v>0.861777998906174</x:v>
      </x:c>
      <x:c r="K84" s="20" t="n">
        <x:f>IFERROR(H84/(XLOOKUP(A84,Lotes!$A$4:$A$8,Lotes!$D$4:$D$8,Premissas!$B$9)+F84),0)</x:f>
        <x:v>6.2347382622625585</x:v>
      </x:c>
      <x:c r="L84" s="19" t="str">
        <x:f>IF(E84=0,"Venda imediata",IF(E84&lt;=60,"Baixo",IF(E84&lt;=120,"Médio","Alto")))</x:f>
        <x:v>Alto</x:v>
      </x:c>
      <x:c r="M84" s="19" t="str">
        <x:f>IF(H84&lt;0,"Não comprar/tratar",IF(L84="Alto","Só se preço/pasto compensar","Viável"))</x:f>
        <x:v>Só se preço/pasto compensar</x:v>
      </x:c>
      <x:c r="N84" s="19" t="str">
        <x:f>IF(C84=12,"Testar margem incremental; não perseguir automaticamente","Comparar com giro e risco")</x:f>
        <x:v>Comparar com giro e risco</x:v>
      </x:c>
      <x:c r="O84" s="19" t="n">
        <x:f>XLOOKUP(A84,Lotes!$A$4:$A$8,Lotes!$B$4:$B$8,0)</x:f>
        <x:v>0</x:v>
      </x:c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  <x:c r="AA84" s="17"/>
      <x:c r="AB84" s="17"/>
    </x:row>
    <x:row r="85">
      <x:c r="A85" s="19" t="str">
        <x:v>Bezerras pequenas 4@</x:v>
      </x:c>
      <x:c r="B85" s="21" t="n">
        <x:v>320</x:v>
      </x:c>
      <x:c r="C85" s="23" t="n">
        <x:v>9</x:v>
      </x:c>
      <x:c r="D85" s="23" t="n">
        <x:f>XLOOKUP(A85,Lotes!$A$4:$A$8,Lotes!$C$4:$C$8,0)</x:f>
        <x:v>4</x:v>
      </x:c>
      <x:c r="E85" s="23" t="n">
        <x:f>MAX(0,(C85*Premissas!$B$5/Premissas!$B$4)-(D85*Premissas!$B$5/Premissas!$B$4))/SUMIFS('Cenários de GMD'!$C$4:$C$19,'Cenários de GMD'!$A$4:$A$19,"Econômica",'Cenários de GMD'!$B$4:$B$19,"Base")</x:f>
        <x:v>272.72727272727275</x:v>
      </x:c>
      <x:c r="F85" s="21" t="n">
        <x:f>(((D85*Premissas!$B$5/Premissas!$B$4)+(C85*Premissas!$B$5/Premissas!$B$4))/2)*(SUMIFS('Cenários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GMD'!$B$4:$B$19,"Base")*Insumos!$E$5)*E85</x:f>
        <x:v>434.44710743801653</x:v>
      </x:c>
      <x:c r="G85" s="21" t="n">
        <x:f>B85*C85</x:f>
        <x:v>2880</x:v>
      </x:c>
      <x:c r="H85" s="21" t="n">
        <x:f>G85-XLOOKUP(A85,Lotes!$A$4:$A$8,Lotes!$D$4:$D$8,Premissas!$B$9)-F85</x:f>
        <x:v>2445.5528925619833</x:v>
      </x:c>
      <x:c r="I85" s="21" t="n">
        <x:f>H85*O85</x:f>
        <x:v>0</x:v>
      </x:c>
      <x:c r="J85" s="20" t="n">
        <x:f>IF(G85=0,0,H85/G85)</x:f>
        <x:v>0.8491503099173553</x:v>
      </x:c>
      <x:c r="K85" s="20" t="n">
        <x:f>IFERROR(H85/(XLOOKUP(A85,Lotes!$A$4:$A$8,Lotes!$D$4:$D$8,Premissas!$B$9)+F85),0)</x:f>
        <x:v>5.62911537605506</x:v>
      </x:c>
      <x:c r="L85" s="19" t="str">
        <x:f>IF(E85=0,"Venda imediata",IF(E85&lt;=60,"Baixo",IF(E85&lt;=120,"Médio","Alto")))</x:f>
        <x:v>Alto</x:v>
      </x:c>
      <x:c r="M85" s="19" t="str">
        <x:f>IF(H85&lt;0,"Não comprar/tratar",IF(L85="Alto","Só se preço/pasto compensar","Viável"))</x:f>
        <x:v>Só se preço/pasto compensar</x:v>
      </x:c>
      <x:c r="N85" s="19" t="str">
        <x:f>IF(C85=12,"Testar margem incremental; não perseguir automaticamente","Comparar com giro e risco")</x:f>
        <x:v>Comparar com giro e risco</x:v>
      </x:c>
      <x:c r="O85" s="19" t="n">
        <x:f>XLOOKUP(A85,Lotes!$A$4:$A$8,Lotes!$B$4:$B$8,0)</x:f>
        <x:v>0</x:v>
      </x:c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  <x:c r="AA85" s="17"/>
      <x:c r="AB85" s="17"/>
    </x:row>
    <x:row r="86">
      <x:c r="A86" s="19" t="str">
        <x:v>Bezerras pequenas 4@</x:v>
      </x:c>
      <x:c r="B86" s="21" t="n">
        <x:v>320</x:v>
      </x:c>
      <x:c r="C86" s="23" t="n">
        <x:v>10.5</x:v>
      </x:c>
      <x:c r="D86" s="23" t="n">
        <x:f>XLOOKUP(A86,Lotes!$A$4:$A$8,Lotes!$C$4:$C$8,0)</x:f>
        <x:v>4</x:v>
      </x:c>
      <x:c r="E86" s="23" t="n">
        <x:f>MAX(0,(C86*Premissas!$B$5/Premissas!$B$4)-(D86*Premissas!$B$5/Premissas!$B$4))/SUMIFS('Cenários de GMD'!$C$4:$C$19,'Cenários de GMD'!$A$4:$A$19,"Econômica",'Cenários de GMD'!$B$4:$B$19,"Base")</x:f>
        <x:v>354.5454545454545</x:v>
      </x:c>
      <x:c r="F86" s="21" t="n">
        <x:f>(((D86*Premissas!$B$5/Premissas!$B$4)+(C86*Premissas!$B$5/Premissas!$B$4))/2)*(SUMIFS('Cenários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GMD'!$B$4:$B$19,"Base")*Insumos!$E$5)*E86</x:f>
        <x:v>629.9483057851238</x:v>
      </x:c>
      <x:c r="G86" s="21" t="n">
        <x:f>B86*C86</x:f>
        <x:v>3360</x:v>
      </x:c>
      <x:c r="H86" s="21" t="n">
        <x:f>G86-XLOOKUP(A86,Lotes!$A$4:$A$8,Lotes!$D$4:$D$8,Premissas!$B$9)-F86</x:f>
        <x:v>2730.051694214876</x:v>
      </x:c>
      <x:c r="I86" s="21" t="n">
        <x:f>H86*O86</x:f>
        <x:v>0</x:v>
      </x:c>
      <x:c r="J86" s="20" t="n">
        <x:f>IF(G86=0,0,H86/G86)</x:f>
        <x:v>0.8125153851829988</x:v>
      </x:c>
      <x:c r="K86" s="20" t="n">
        <x:f>IFERROR(H86/(XLOOKUP(A86,Lotes!$A$4:$A$8,Lotes!$D$4:$D$8,Premissas!$B$9)+F86),0)</x:f>
        <x:v>4.33377099222821</x:v>
      </x:c>
      <x:c r="L86" s="19" t="str">
        <x:f>IF(E86=0,"Venda imediata",IF(E86&lt;=60,"Baixo",IF(E86&lt;=120,"Médio","Alto")))</x:f>
        <x:v>Alto</x:v>
      </x:c>
      <x:c r="M86" s="19" t="str">
        <x:f>IF(H86&lt;0,"Não comprar/tratar",IF(L86="Alto","Só se preço/pasto compensar","Viável"))</x:f>
        <x:v>Só se preço/pasto compensar</x:v>
      </x:c>
      <x:c r="N86" s="19" t="str">
        <x:f>IF(C86=12,"Testar margem incremental; não perseguir automaticamente","Comparar com giro e risco")</x:f>
        <x:v>Comparar com giro e risco</x:v>
      </x:c>
      <x:c r="O86" s="19" t="n">
        <x:f>XLOOKUP(A86,Lotes!$A$4:$A$8,Lotes!$B$4:$B$8,0)</x:f>
        <x:v>0</x:v>
      </x:c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  <x:c r="AA86" s="17"/>
      <x:c r="AB86" s="17"/>
    </x:row>
    <x:row r="87">
      <x:c r="A87" s="19" t="str">
        <x:v>Bezerras pequenas 4@</x:v>
      </x:c>
      <x:c r="B87" s="21" t="n">
        <x:v>320</x:v>
      </x:c>
      <x:c r="C87" s="23" t="n">
        <x:v>11</x:v>
      </x:c>
      <x:c r="D87" s="23" t="n">
        <x:f>XLOOKUP(A87,Lotes!$A$4:$A$8,Lotes!$C$4:$C$8,0)</x:f>
        <x:v>4</x:v>
      </x:c>
      <x:c r="E87" s="23" t="n">
        <x:f>MAX(0,(C87*Premissas!$B$5/Premissas!$B$4)-(D87*Premissas!$B$5/Premissas!$B$4))/SUMIFS('Cenários de GMD'!$C$4:$C$19,'Cenários de GMD'!$A$4:$A$19,"Econômica",'Cenários de GMD'!$B$4:$B$19,"Base")</x:f>
        <x:v>381.81818181818187</x:v>
      </x:c>
      <x:c r="F87" s="21" t="n">
        <x:f>(((D87*Premissas!$B$5/Premissas!$B$4)+(C87*Premissas!$B$5/Premissas!$B$4))/2)*(SUMIFS('Cenários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GMD'!$B$4:$B$19,"Base")*Insumos!$E$5)*E87</x:f>
        <x:v>701.7991735537191</x:v>
      </x:c>
      <x:c r="G87" s="21" t="n">
        <x:f>B87*C87</x:f>
        <x:v>3520</x:v>
      </x:c>
      <x:c r="H87" s="21" t="n">
        <x:f>G87-XLOOKUP(A87,Lotes!$A$4:$A$8,Lotes!$D$4:$D$8,Premissas!$B$9)-F87</x:f>
        <x:v>2818.200826446281</x:v>
      </x:c>
      <x:c r="I87" s="21" t="n">
        <x:f>H87*O87</x:f>
        <x:v>0</x:v>
      </x:c>
      <x:c r="J87" s="20" t="n">
        <x:f>IF(G87=0,0,H87/G87)</x:f>
        <x:v>0.8006252347858753</x:v>
      </x:c>
      <x:c r="K87" s="20" t="n">
        <x:f>IFERROR(H87/(XLOOKUP(A87,Lotes!$A$4:$A$8,Lotes!$D$4:$D$8,Premissas!$B$9)+F87),0)</x:f>
        <x:v>4.015679887703034</x:v>
      </x:c>
      <x:c r="L87" s="19" t="str">
        <x:f>IF(E87=0,"Venda imediata",IF(E87&lt;=60,"Baixo",IF(E87&lt;=120,"Médio","Alto")))</x:f>
        <x:v>Alto</x:v>
      </x:c>
      <x:c r="M87" s="19" t="str">
        <x:f>IF(H87&lt;0,"Não comprar/tratar",IF(L87="Alto","Só se preço/pasto compensar","Viável"))</x:f>
        <x:v>Só se preço/pasto compensar</x:v>
      </x:c>
      <x:c r="N87" s="19" t="str">
        <x:f>IF(C87=12,"Testar margem incremental; não perseguir automaticamente","Comparar com giro e risco")</x:f>
        <x:v>Comparar com giro e risco</x:v>
      </x:c>
      <x:c r="O87" s="19" t="n">
        <x:f>XLOOKUP(A87,Lotes!$A$4:$A$8,Lotes!$B$4:$B$8,0)</x:f>
        <x:v>0</x:v>
      </x:c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  <x:c r="AA87" s="17"/>
      <x:c r="AB87" s="17"/>
    </x:row>
    <x:row r="88">
      <x:c r="A88" s="19" t="str">
        <x:v>Bezerras pequenas 4@</x:v>
      </x:c>
      <x:c r="B88" s="21" t="n">
        <x:v>320</x:v>
      </x:c>
      <x:c r="C88" s="23" t="n">
        <x:v>12</x:v>
      </x:c>
      <x:c r="D88" s="23" t="n">
        <x:f>XLOOKUP(A88,Lotes!$A$4:$A$8,Lotes!$C$4:$C$8,0)</x:f>
        <x:v>4</x:v>
      </x:c>
      <x:c r="E88" s="23" t="n">
        <x:f>MAX(0,(C88*Premissas!$B$5/Premissas!$B$4)-(D88*Premissas!$B$5/Premissas!$B$4))/SUMIFS('Cenários de GMD'!$C$4:$C$19,'Cenários de GMD'!$A$4:$A$19,"Econômica",'Cenários de GMD'!$B$4:$B$19,"Base")</x:f>
        <x:v>436.3636363636364</x:v>
      </x:c>
      <x:c r="F88" s="21" t="n">
        <x:f>(((D88*Premissas!$B$5/Premissas!$B$4)+(C88*Premissas!$B$5/Premissas!$B$4))/2)*(SUMIFS('Cenários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GMD'!$B$4:$B$19,"Base")*Insumos!$E$5)*E88</x:f>
        <x:v>855.526611570248</x:v>
      </x:c>
      <x:c r="G88" s="21" t="n">
        <x:f>B88*C88</x:f>
        <x:v>3840</x:v>
      </x:c>
      <x:c r="H88" s="21" t="n">
        <x:f>G88-XLOOKUP(A88,Lotes!$A$4:$A$8,Lotes!$D$4:$D$8,Premissas!$B$9)-F88</x:f>
        <x:v>2984.473388429752</x:v>
      </x:c>
      <x:c r="I88" s="21" t="n">
        <x:f>H88*O88</x:f>
        <x:v>0</x:v>
      </x:c>
      <x:c r="J88" s="20" t="n">
        <x:f>IF(G88=0,0,H88/G88)</x:f>
        <x:v>0.777206611570248</x:v>
      </x:c>
      <x:c r="K88" s="20" t="n">
        <x:f>IFERROR(H88/(XLOOKUP(A88,Lotes!$A$4:$A$8,Lotes!$D$4:$D$8,Premissas!$B$9)+F88),0)</x:f>
        <x:v>3.4884635358706135</x:v>
      </x:c>
      <x:c r="L88" s="19" t="str">
        <x:f>IF(E88=0,"Venda imediata",IF(E88&lt;=60,"Baixo",IF(E88&lt;=120,"Médio","Alto")))</x:f>
        <x:v>Alto</x:v>
      </x:c>
      <x:c r="M88" s="19" t="str">
        <x:f>IF(H88&lt;0,"Não comprar/tratar",IF(L88="Alto","Só se preço/pasto compensar","Viável"))</x:f>
        <x:v>Só se preço/pasto compensar</x:v>
      </x:c>
      <x:c r="N88" s="19" t="str">
        <x:f>IF(C88=12,"Testar margem incremental; não perseguir automaticamente","Comparar com giro e risco")</x:f>
        <x:v>Testar margem incremental; não perseguir automaticamente</x:v>
      </x:c>
      <x:c r="O88" s="19" t="n">
        <x:f>XLOOKUP(A88,Lotes!$A$4:$A$8,Lotes!$B$4:$B$8,0)</x:f>
        <x:v>0</x:v>
      </x:c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  <x:c r="AA88" s="17"/>
      <x:c r="AB88" s="17"/>
    </x:row>
    <x:row r="89">
      <x:c r="A89" s="19" t="str">
        <x:v>Bezerras pequenas 4@</x:v>
      </x:c>
      <x:c r="B89" s="21" t="n">
        <x:v>330</x:v>
      </x:c>
      <x:c r="C89" s="23" t="n">
        <x:v>8.5</x:v>
      </x:c>
      <x:c r="D89" s="23" t="n">
        <x:f>XLOOKUP(A89,Lotes!$A$4:$A$8,Lotes!$C$4:$C$8,0)</x:f>
        <x:v>4</x:v>
      </x:c>
      <x:c r="E89" s="23" t="n">
        <x:f>MAX(0,(C89*Premissas!$B$5/Premissas!$B$4)-(D89*Premissas!$B$5/Premissas!$B$4))/SUMIFS('Cenários de GMD'!$C$4:$C$19,'Cenários de GMD'!$A$4:$A$19,"Econômica",'Cenários de GMD'!$B$4:$B$19,"Base")</x:f>
        <x:v>245.45454545454547</x:v>
      </x:c>
      <x:c r="F89" s="21" t="n">
        <x:f>(((D89*Premissas!$B$5/Premissas!$B$4)+(C89*Premissas!$B$5/Premissas!$B$4))/2)*(SUMIFS('Cenários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GMD'!$B$4:$B$19,"Base")*Insumos!$E$5)*E89</x:f>
        <x:v>375.96384297520666</x:v>
      </x:c>
      <x:c r="G89" s="21" t="n">
        <x:f>B89*C89</x:f>
        <x:v>2805</x:v>
      </x:c>
      <x:c r="H89" s="21" t="n">
        <x:f>G89-XLOOKUP(A89,Lotes!$A$4:$A$8,Lotes!$D$4:$D$8,Premissas!$B$9)-F89</x:f>
        <x:v>2429.0361570247933</x:v>
      </x:c>
      <x:c r="I89" s="21" t="n">
        <x:f>H89*O89</x:f>
        <x:v>0</x:v>
      </x:c>
      <x:c r="J89" s="20" t="n">
        <x:f>IF(G89=0,0,H89/G89)</x:f>
        <x:v>0.8659665443938657</x:v>
      </x:c>
      <x:c r="K89" s="20" t="n">
        <x:f>IFERROR(H89/(XLOOKUP(A89,Lotes!$A$4:$A$8,Lotes!$D$4:$D$8,Premissas!$B$9)+F89),0)</x:f>
        <x:v>6.460823832958263</x:v>
      </x:c>
      <x:c r="L89" s="19" t="str">
        <x:f>IF(E89=0,"Venda imediata",IF(E89&lt;=60,"Baixo",IF(E89&lt;=120,"Médio","Alto")))</x:f>
        <x:v>Alto</x:v>
      </x:c>
      <x:c r="M89" s="19" t="str">
        <x:f>IF(H89&lt;0,"Não comprar/tratar",IF(L89="Alto","Só se preço/pasto compensar","Viável"))</x:f>
        <x:v>Só se preço/pasto compensar</x:v>
      </x:c>
      <x:c r="N89" s="19" t="str">
        <x:f>IF(C89=12,"Testar margem incremental; não perseguir automaticamente","Comparar com giro e risco")</x:f>
        <x:v>Comparar com giro e risco</x:v>
      </x:c>
      <x:c r="O89" s="19" t="n">
        <x:f>XLOOKUP(A89,Lotes!$A$4:$A$8,Lotes!$B$4:$B$8,0)</x:f>
        <x:v>0</x:v>
      </x:c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  <x:c r="AA89" s="17"/>
      <x:c r="AB89" s="17"/>
    </x:row>
    <x:row r="90">
      <x:c r="A90" s="19" t="str">
        <x:v>Bezerras pequenas 4@</x:v>
      </x:c>
      <x:c r="B90" s="21" t="n">
        <x:v>330</x:v>
      </x:c>
      <x:c r="C90" s="23" t="n">
        <x:v>9</x:v>
      </x:c>
      <x:c r="D90" s="23" t="n">
        <x:f>XLOOKUP(A90,Lotes!$A$4:$A$8,Lotes!$C$4:$C$8,0)</x:f>
        <x:v>4</x:v>
      </x:c>
      <x:c r="E90" s="23" t="n">
        <x:f>MAX(0,(C90*Premissas!$B$5/Premissas!$B$4)-(D90*Premissas!$B$5/Premissas!$B$4))/SUMIFS('Cenários de GMD'!$C$4:$C$19,'Cenários de GMD'!$A$4:$A$19,"Econômica",'Cenários de GMD'!$B$4:$B$19,"Base")</x:f>
        <x:v>272.72727272727275</x:v>
      </x:c>
      <x:c r="F90" s="21" t="n">
        <x:f>(((D90*Premissas!$B$5/Premissas!$B$4)+(C90*Premissas!$B$5/Premissas!$B$4))/2)*(SUMIFS('Cenários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GMD'!$B$4:$B$19,"Base")*Insumos!$E$5)*E90</x:f>
        <x:v>434.44710743801653</x:v>
      </x:c>
      <x:c r="G90" s="21" t="n">
        <x:f>B90*C90</x:f>
        <x:v>2970</x:v>
      </x:c>
      <x:c r="H90" s="21" t="n">
        <x:f>G90-XLOOKUP(A90,Lotes!$A$4:$A$8,Lotes!$D$4:$D$8,Premissas!$B$9)-F90</x:f>
        <x:v>2535.5528925619833</x:v>
      </x:c>
      <x:c r="I90" s="21" t="n">
        <x:f>H90*O90</x:f>
        <x:v>0</x:v>
      </x:c>
      <x:c r="J90" s="20" t="n">
        <x:f>IF(G90=0,0,H90/G90)</x:f>
        <x:v>0.8537215126471325</x:v>
      </x:c>
      <x:c r="K90" s="20" t="n">
        <x:f>IFERROR(H90/(XLOOKUP(A90,Lotes!$A$4:$A$8,Lotes!$D$4:$D$8,Premissas!$B$9)+F90),0)</x:f>
        <x:v>5.8362752315567805</x:v>
      </x:c>
      <x:c r="L90" s="19" t="str">
        <x:f>IF(E90=0,"Venda imediata",IF(E90&lt;=60,"Baixo",IF(E90&lt;=120,"Médio","Alto")))</x:f>
        <x:v>Alto</x:v>
      </x:c>
      <x:c r="M90" s="19" t="str">
        <x:f>IF(H90&lt;0,"Não comprar/tratar",IF(L90="Alto","Só se preço/pasto compensar","Viável"))</x:f>
        <x:v>Só se preço/pasto compensar</x:v>
      </x:c>
      <x:c r="N90" s="19" t="str">
        <x:f>IF(C90=12,"Testar margem incremental; não perseguir automaticamente","Comparar com giro e risco")</x:f>
        <x:v>Comparar com giro e risco</x:v>
      </x:c>
      <x:c r="O90" s="19" t="n">
        <x:f>XLOOKUP(A90,Lotes!$A$4:$A$8,Lotes!$B$4:$B$8,0)</x:f>
        <x:v>0</x:v>
      </x:c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  <x:c r="AA90" s="17"/>
      <x:c r="AB90" s="17"/>
    </x:row>
    <x:row r="91">
      <x:c r="A91" s="19" t="str">
        <x:v>Bezerras pequenas 4@</x:v>
      </x:c>
      <x:c r="B91" s="21" t="n">
        <x:v>330</x:v>
      </x:c>
      <x:c r="C91" s="23" t="n">
        <x:v>10.5</x:v>
      </x:c>
      <x:c r="D91" s="23" t="n">
        <x:f>XLOOKUP(A91,Lotes!$A$4:$A$8,Lotes!$C$4:$C$8,0)</x:f>
        <x:v>4</x:v>
      </x:c>
      <x:c r="E91" s="23" t="n">
        <x:f>MAX(0,(C91*Premissas!$B$5/Premissas!$B$4)-(D91*Premissas!$B$5/Premissas!$B$4))/SUMIFS('Cenários de GMD'!$C$4:$C$19,'Cenários de GMD'!$A$4:$A$19,"Econômica",'Cenários de GMD'!$B$4:$B$19,"Base")</x:f>
        <x:v>354.5454545454545</x:v>
      </x:c>
      <x:c r="F91" s="21" t="n">
        <x:f>(((D91*Premissas!$B$5/Premissas!$B$4)+(C91*Premissas!$B$5/Premissas!$B$4))/2)*(SUMIFS('Cenários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GMD'!$B$4:$B$19,"Base")*Insumos!$E$5)*E91</x:f>
        <x:v>629.9483057851238</x:v>
      </x:c>
      <x:c r="G91" s="21" t="n">
        <x:f>B91*C91</x:f>
        <x:v>3465</x:v>
      </x:c>
      <x:c r="H91" s="21" t="n">
        <x:f>G91-XLOOKUP(A91,Lotes!$A$4:$A$8,Lotes!$D$4:$D$8,Premissas!$B$9)-F91</x:f>
        <x:v>2835.051694214876</x:v>
      </x:c>
      <x:c r="I91" s="21" t="n">
        <x:f>H91*O91</x:f>
        <x:v>0</x:v>
      </x:c>
      <x:c r="J91" s="20" t="n">
        <x:f>IF(G91=0,0,H91/G91)</x:f>
        <x:v>0.8181967371471504</x:v>
      </x:c>
      <x:c r="K91" s="20" t="n">
        <x:f>IFERROR(H91/(XLOOKUP(A91,Lotes!$A$4:$A$8,Lotes!$D$4:$D$8,Premissas!$B$9)+F91),0)</x:f>
        <x:v>4.500451335735342</x:v>
      </x:c>
      <x:c r="L91" s="19" t="str">
        <x:f>IF(E91=0,"Venda imediata",IF(E91&lt;=60,"Baixo",IF(E91&lt;=120,"Médio","Alto")))</x:f>
        <x:v>Alto</x:v>
      </x:c>
      <x:c r="M91" s="19" t="str">
        <x:f>IF(H91&lt;0,"Não comprar/tratar",IF(L91="Alto","Só se preço/pasto compensar","Viável"))</x:f>
        <x:v>Só se preço/pasto compensar</x:v>
      </x:c>
      <x:c r="N91" s="19" t="str">
        <x:f>IF(C91=12,"Testar margem incremental; não perseguir automaticamente","Comparar com giro e risco")</x:f>
        <x:v>Comparar com giro e risco</x:v>
      </x:c>
      <x:c r="O91" s="19" t="n">
        <x:f>XLOOKUP(A91,Lotes!$A$4:$A$8,Lotes!$B$4:$B$8,0)</x:f>
        <x:v>0</x:v>
      </x:c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  <x:c r="AA91" s="17"/>
      <x:c r="AB91" s="17"/>
    </x:row>
    <x:row r="92">
      <x:c r="A92" s="19" t="str">
        <x:v>Bezerras pequenas 4@</x:v>
      </x:c>
      <x:c r="B92" s="21" t="n">
        <x:v>330</x:v>
      </x:c>
      <x:c r="C92" s="23" t="n">
        <x:v>11</x:v>
      </x:c>
      <x:c r="D92" s="23" t="n">
        <x:f>XLOOKUP(A92,Lotes!$A$4:$A$8,Lotes!$C$4:$C$8,0)</x:f>
        <x:v>4</x:v>
      </x:c>
      <x:c r="E92" s="23" t="n">
        <x:f>MAX(0,(C92*Premissas!$B$5/Premissas!$B$4)-(D92*Premissas!$B$5/Premissas!$B$4))/SUMIFS('Cenários de GMD'!$C$4:$C$19,'Cenários de GMD'!$A$4:$A$19,"Econômica",'Cenários de GMD'!$B$4:$B$19,"Base")</x:f>
        <x:v>381.81818181818187</x:v>
      </x:c>
      <x:c r="F92" s="21" t="n">
        <x:f>(((D92*Premissas!$B$5/Premissas!$B$4)+(C92*Premissas!$B$5/Premissas!$B$4))/2)*(SUMIFS('Cenários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GMD'!$B$4:$B$19,"Base")*Insumos!$E$5)*E92</x:f>
        <x:v>701.7991735537191</x:v>
      </x:c>
      <x:c r="G92" s="21" t="n">
        <x:f>B92*C92</x:f>
        <x:v>3630</x:v>
      </x:c>
      <x:c r="H92" s="21" t="n">
        <x:f>G92-XLOOKUP(A92,Lotes!$A$4:$A$8,Lotes!$D$4:$D$8,Premissas!$B$9)-F92</x:f>
        <x:v>2928.200826446281</x:v>
      </x:c>
      <x:c r="I92" s="21" t="n">
        <x:f>H92*O92</x:f>
        <x:v>0</x:v>
      </x:c>
      <x:c r="J92" s="20" t="n">
        <x:f>IF(G92=0,0,H92/G92)</x:f>
        <x:v>0.8066668943378185</x:v>
      </x:c>
      <x:c r="K92" s="20" t="n">
        <x:f>IFERROR(H92/(XLOOKUP(A92,Lotes!$A$4:$A$8,Lotes!$D$4:$D$8,Premissas!$B$9)+F92),0)</x:f>
        <x:v>4.172419884193754</x:v>
      </x:c>
      <x:c r="L92" s="19" t="str">
        <x:f>IF(E92=0,"Venda imediata",IF(E92&lt;=60,"Baixo",IF(E92&lt;=120,"Médio","Alto")))</x:f>
        <x:v>Alto</x:v>
      </x:c>
      <x:c r="M92" s="19" t="str">
        <x:f>IF(H92&lt;0,"Não comprar/tratar",IF(L92="Alto","Só se preço/pasto compensar","Viável"))</x:f>
        <x:v>Só se preço/pasto compensar</x:v>
      </x:c>
      <x:c r="N92" s="19" t="str">
        <x:f>IF(C92=12,"Testar margem incremental; não perseguir automaticamente","Comparar com giro e risco")</x:f>
        <x:v>Comparar com giro e risco</x:v>
      </x:c>
      <x:c r="O92" s="19" t="n">
        <x:f>XLOOKUP(A92,Lotes!$A$4:$A$8,Lotes!$B$4:$B$8,0)</x:f>
        <x:v>0</x:v>
      </x:c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  <x:c r="AA92" s="17"/>
      <x:c r="AB92" s="17"/>
    </x:row>
    <x:row r="93">
      <x:c r="A93" s="19" t="str">
        <x:v>Bezerras pequenas 4@</x:v>
      </x:c>
      <x:c r="B93" s="21" t="n">
        <x:v>330</x:v>
      </x:c>
      <x:c r="C93" s="23" t="n">
        <x:v>12</x:v>
      </x:c>
      <x:c r="D93" s="23" t="n">
        <x:f>XLOOKUP(A93,Lotes!$A$4:$A$8,Lotes!$C$4:$C$8,0)</x:f>
        <x:v>4</x:v>
      </x:c>
      <x:c r="E93" s="23" t="n">
        <x:f>MAX(0,(C93*Premissas!$B$5/Premissas!$B$4)-(D93*Premissas!$B$5/Premissas!$B$4))/SUMIFS('Cenários de GMD'!$C$4:$C$19,'Cenários de GMD'!$A$4:$A$19,"Econômica",'Cenários de GMD'!$B$4:$B$19,"Base")</x:f>
        <x:v>436.3636363636364</x:v>
      </x:c>
      <x:c r="F93" s="21" t="n">
        <x:f>(((D93*Premissas!$B$5/Premissas!$B$4)+(C93*Premissas!$B$5/Premissas!$B$4))/2)*(SUMIFS('Cenários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GMD'!$B$4:$B$19,"Base")*Insumos!$E$5)*E93</x:f>
        <x:v>855.526611570248</x:v>
      </x:c>
      <x:c r="G93" s="21" t="n">
        <x:f>B93*C93</x:f>
        <x:v>3960</x:v>
      </x:c>
      <x:c r="H93" s="21" t="n">
        <x:f>G93-XLOOKUP(A93,Lotes!$A$4:$A$8,Lotes!$D$4:$D$8,Premissas!$B$9)-F93</x:f>
        <x:v>3104.473388429752</x:v>
      </x:c>
      <x:c r="I93" s="21" t="n">
        <x:f>H93*O93</x:f>
        <x:v>0</x:v>
      </x:c>
      <x:c r="J93" s="20" t="n">
        <x:f>IF(G93=0,0,H93/G93)</x:f>
        <x:v>0.7839579263711495</x:v>
      </x:c>
      <x:c r="K93" s="20" t="n">
        <x:f>IFERROR(H93/(XLOOKUP(A93,Lotes!$A$4:$A$8,Lotes!$D$4:$D$8,Premissas!$B$9)+F93),0)</x:f>
        <x:v>3.62872802136657</x:v>
      </x:c>
      <x:c r="L93" s="19" t="str">
        <x:f>IF(E93=0,"Venda imediata",IF(E93&lt;=60,"Baixo",IF(E93&lt;=120,"Médio","Alto")))</x:f>
        <x:v>Alto</x:v>
      </x:c>
      <x:c r="M93" s="19" t="str">
        <x:f>IF(H93&lt;0,"Não comprar/tratar",IF(L93="Alto","Só se preço/pasto compensar","Viável"))</x:f>
        <x:v>Só se preço/pasto compensar</x:v>
      </x:c>
      <x:c r="N93" s="19" t="str">
        <x:f>IF(C93=12,"Testar margem incremental; não perseguir automaticamente","Comparar com giro e risco")</x:f>
        <x:v>Testar margem incremental; não perseguir automaticamente</x:v>
      </x:c>
      <x:c r="O93" s="19" t="n">
        <x:f>XLOOKUP(A93,Lotes!$A$4:$A$8,Lotes!$B$4:$B$8,0)</x:f>
        <x:v>0</x:v>
      </x:c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</x:row>
    <x:row r="94">
      <x:c r="A94" s="19" t="str">
        <x:v>Bezerras pequenas 4@</x:v>
      </x:c>
      <x:c r="B94" s="21" t="n">
        <x:v>350</x:v>
      </x:c>
      <x:c r="C94" s="23" t="n">
        <x:v>8.5</x:v>
      </x:c>
      <x:c r="D94" s="23" t="n">
        <x:f>XLOOKUP(A94,Lotes!$A$4:$A$8,Lotes!$C$4:$C$8,0)</x:f>
        <x:v>4</x:v>
      </x:c>
      <x:c r="E94" s="23" t="n">
        <x:f>MAX(0,(C94*Premissas!$B$5/Premissas!$B$4)-(D94*Premissas!$B$5/Premissas!$B$4))/SUMIFS('Cenários de GMD'!$C$4:$C$19,'Cenários de GMD'!$A$4:$A$19,"Econômica",'Cenários de GMD'!$B$4:$B$19,"Base")</x:f>
        <x:v>245.45454545454547</x:v>
      </x:c>
      <x:c r="F94" s="21" t="n">
        <x:f>(((D94*Premissas!$B$5/Premissas!$B$4)+(C94*Premissas!$B$5/Premissas!$B$4))/2)*(SUMIFS('Cenários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GMD'!$B$4:$B$19,"Base")*Insumos!$E$5)*E94</x:f>
        <x:v>375.96384297520666</x:v>
      </x:c>
      <x:c r="G94" s="21" t="n">
        <x:f>B94*C94</x:f>
        <x:v>2975</x:v>
      </x:c>
      <x:c r="H94" s="21" t="n">
        <x:f>G94-XLOOKUP(A94,Lotes!$A$4:$A$8,Lotes!$D$4:$D$8,Premissas!$B$9)-F94</x:f>
        <x:v>2599.0361570247933</x:v>
      </x:c>
      <x:c r="I94" s="21" t="n">
        <x:f>H94*O94</x:f>
        <x:v>0</x:v>
      </x:c>
      <x:c r="J94" s="20" t="n">
        <x:f>IF(G94=0,0,H94/G94)</x:f>
        <x:v>0.8736255989999305</x:v>
      </x:c>
      <x:c r="K94" s="20" t="n">
        <x:f>IFERROR(H94/(XLOOKUP(A94,Lotes!$A$4:$A$8,Lotes!$D$4:$D$8,Premissas!$B$9)+F94),0)</x:f>
        <x:v>6.912994974349673</x:v>
      </x:c>
      <x:c r="L94" s="19" t="str">
        <x:f>IF(E94=0,"Venda imediata",IF(E94&lt;=60,"Baixo",IF(E94&lt;=120,"Médio","Alto")))</x:f>
        <x:v>Alto</x:v>
      </x:c>
      <x:c r="M94" s="19" t="str">
        <x:f>IF(H94&lt;0,"Não comprar/tratar",IF(L94="Alto","Só se preço/pasto compensar","Viável"))</x:f>
        <x:v>Só se preço/pasto compensar</x:v>
      </x:c>
      <x:c r="N94" s="19" t="str">
        <x:f>IF(C94=12,"Testar margem incremental; não perseguir automaticamente","Comparar com giro e risco")</x:f>
        <x:v>Comparar com giro e risco</x:v>
      </x:c>
      <x:c r="O94" s="19" t="n">
        <x:f>XLOOKUP(A94,Lotes!$A$4:$A$8,Lotes!$B$4:$B$8,0)</x:f>
        <x:v>0</x:v>
      </x:c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  <x:c r="AA94" s="17"/>
      <x:c r="AB94" s="17"/>
    </x:row>
    <x:row r="95">
      <x:c r="A95" s="19" t="str">
        <x:v>Bezerras pequenas 4@</x:v>
      </x:c>
      <x:c r="B95" s="21" t="n">
        <x:v>350</x:v>
      </x:c>
      <x:c r="C95" s="23" t="n">
        <x:v>9</x:v>
      </x:c>
      <x:c r="D95" s="23" t="n">
        <x:f>XLOOKUP(A95,Lotes!$A$4:$A$8,Lotes!$C$4:$C$8,0)</x:f>
        <x:v>4</x:v>
      </x:c>
      <x:c r="E95" s="23" t="n">
        <x:f>MAX(0,(C95*Premissas!$B$5/Premissas!$B$4)-(D95*Premissas!$B$5/Premissas!$B$4))/SUMIFS('Cenários de GMD'!$C$4:$C$19,'Cenários de GMD'!$A$4:$A$19,"Econômica",'Cenários de GMD'!$B$4:$B$19,"Base")</x:f>
        <x:v>272.72727272727275</x:v>
      </x:c>
      <x:c r="F95" s="21" t="n">
        <x:f>(((D95*Premissas!$B$5/Premissas!$B$4)+(C95*Premissas!$B$5/Premissas!$B$4))/2)*(SUMIFS('Cenários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GMD'!$B$4:$B$19,"Base")*Insumos!$E$5)*E95</x:f>
        <x:v>434.44710743801653</x:v>
      </x:c>
      <x:c r="G95" s="21" t="n">
        <x:f>B95*C95</x:f>
        <x:v>3150</x:v>
      </x:c>
      <x:c r="H95" s="21" t="n">
        <x:f>G95-XLOOKUP(A95,Lotes!$A$4:$A$8,Lotes!$D$4:$D$8,Premissas!$B$9)-F95</x:f>
        <x:v>2715.5528925619833</x:v>
      </x:c>
      <x:c r="I95" s="21" t="n">
        <x:f>H95*O95</x:f>
        <x:v>0</x:v>
      </x:c>
      <x:c r="J95" s="20" t="n">
        <x:f>IF(G95=0,0,H95/G95)</x:f>
        <x:v>0.8620802833530106</x:v>
      </x:c>
      <x:c r="K95" s="20" t="n">
        <x:f>IFERROR(H95/(XLOOKUP(A95,Lotes!$A$4:$A$8,Lotes!$D$4:$D$8,Premissas!$B$9)+F95),0)</x:f>
        <x:v>6.250594942560221</x:v>
      </x:c>
      <x:c r="L95" s="19" t="str">
        <x:f>IF(E95=0,"Venda imediata",IF(E95&lt;=60,"Baixo",IF(E95&lt;=120,"Médio","Alto")))</x:f>
        <x:v>Alto</x:v>
      </x:c>
      <x:c r="M95" s="19" t="str">
        <x:f>IF(H95&lt;0,"Não comprar/tratar",IF(L95="Alto","Só se preço/pasto compensar","Viável"))</x:f>
        <x:v>Só se preço/pasto compensar</x:v>
      </x:c>
      <x:c r="N95" s="19" t="str">
        <x:f>IF(C95=12,"Testar margem incremental; não perseguir automaticamente","Comparar com giro e risco")</x:f>
        <x:v>Comparar com giro e risco</x:v>
      </x:c>
      <x:c r="O95" s="19" t="n">
        <x:f>XLOOKUP(A95,Lotes!$A$4:$A$8,Lotes!$B$4:$B$8,0)</x:f>
        <x:v>0</x:v>
      </x:c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  <x:c r="AA95" s="17"/>
      <x:c r="AB95" s="17"/>
    </x:row>
    <x:row r="96">
      <x:c r="A96" s="19" t="str">
        <x:v>Bezerras pequenas 4@</x:v>
      </x:c>
      <x:c r="B96" s="21" t="n">
        <x:v>350</x:v>
      </x:c>
      <x:c r="C96" s="23" t="n">
        <x:v>10.5</x:v>
      </x:c>
      <x:c r="D96" s="23" t="n">
        <x:f>XLOOKUP(A96,Lotes!$A$4:$A$8,Lotes!$C$4:$C$8,0)</x:f>
        <x:v>4</x:v>
      </x:c>
      <x:c r="E96" s="23" t="n">
        <x:f>MAX(0,(C96*Premissas!$B$5/Premissas!$B$4)-(D96*Premissas!$B$5/Premissas!$B$4))/SUMIFS('Cenários de GMD'!$C$4:$C$19,'Cenários de GMD'!$A$4:$A$19,"Econômica",'Cenários de GMD'!$B$4:$B$19,"Base")</x:f>
        <x:v>354.5454545454545</x:v>
      </x:c>
      <x:c r="F96" s="21" t="n">
        <x:f>(((D96*Premissas!$B$5/Premissas!$B$4)+(C96*Premissas!$B$5/Premissas!$B$4))/2)*(SUMIFS('Cenários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GMD'!$B$4:$B$19,"Base")*Insumos!$E$5)*E96</x:f>
        <x:v>629.9483057851238</x:v>
      </x:c>
      <x:c r="G96" s="21" t="n">
        <x:f>B96*C96</x:f>
        <x:v>3675</x:v>
      </x:c>
      <x:c r="H96" s="21" t="n">
        <x:f>G96-XLOOKUP(A96,Lotes!$A$4:$A$8,Lotes!$D$4:$D$8,Premissas!$B$9)-F96</x:f>
        <x:v>3045.051694214876</x:v>
      </x:c>
      <x:c r="I96" s="21" t="n">
        <x:f>H96*O96</x:f>
        <x:v>0</x:v>
      </x:c>
      <x:c r="J96" s="20" t="n">
        <x:f>IF(G96=0,0,H96/G96)</x:f>
        <x:v>0.8285854950244561</x:v>
      </x:c>
      <x:c r="K96" s="20" t="n">
        <x:f>IFERROR(H96/(XLOOKUP(A96,Lotes!$A$4:$A$8,Lotes!$D$4:$D$8,Premissas!$B$9)+F96),0)</x:f>
        <x:v>4.833812022749605</x:v>
      </x:c>
      <x:c r="L96" s="19" t="str">
        <x:f>IF(E96=0,"Venda imediata",IF(E96&lt;=60,"Baixo",IF(E96&lt;=120,"Médio","Alto")))</x:f>
        <x:v>Alto</x:v>
      </x:c>
      <x:c r="M96" s="19" t="str">
        <x:f>IF(H96&lt;0,"Não comprar/tratar",IF(L96="Alto","Só se preço/pasto compensar","Viável"))</x:f>
        <x:v>Só se preço/pasto compensar</x:v>
      </x:c>
      <x:c r="N96" s="19" t="str">
        <x:f>IF(C96=12,"Testar margem incremental; não perseguir automaticamente","Comparar com giro e risco")</x:f>
        <x:v>Comparar com giro e risco</x:v>
      </x:c>
      <x:c r="O96" s="19" t="n">
        <x:f>XLOOKUP(A96,Lotes!$A$4:$A$8,Lotes!$B$4:$B$8,0)</x:f>
        <x:v>0</x:v>
      </x:c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</x:row>
    <x:row r="97">
      <x:c r="A97" s="19" t="str">
        <x:v>Bezerras pequenas 4@</x:v>
      </x:c>
      <x:c r="B97" s="21" t="n">
        <x:v>350</x:v>
      </x:c>
      <x:c r="C97" s="23" t="n">
        <x:v>11</x:v>
      </x:c>
      <x:c r="D97" s="23" t="n">
        <x:f>XLOOKUP(A97,Lotes!$A$4:$A$8,Lotes!$C$4:$C$8,0)</x:f>
        <x:v>4</x:v>
      </x:c>
      <x:c r="E97" s="23" t="n">
        <x:f>MAX(0,(C97*Premissas!$B$5/Premissas!$B$4)-(D97*Premissas!$B$5/Premissas!$B$4))/SUMIFS('Cenários de GMD'!$C$4:$C$19,'Cenários de GMD'!$A$4:$A$19,"Econômica",'Cenários de GMD'!$B$4:$B$19,"Base")</x:f>
        <x:v>381.81818181818187</x:v>
      </x:c>
      <x:c r="F97" s="21" t="n">
        <x:f>(((D97*Premissas!$B$5/Premissas!$B$4)+(C97*Premissas!$B$5/Premissas!$B$4))/2)*(SUMIFS('Cenários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GMD'!$B$4:$B$19,"Base")*Insumos!$E$5)*E97</x:f>
        <x:v>701.7991735537191</x:v>
      </x:c>
      <x:c r="G97" s="21" t="n">
        <x:f>B97*C97</x:f>
        <x:v>3850</x:v>
      </x:c>
      <x:c r="H97" s="21" t="n">
        <x:f>G97-XLOOKUP(A97,Lotes!$A$4:$A$8,Lotes!$D$4:$D$8,Premissas!$B$9)-F97</x:f>
        <x:v>3148.200826446281</x:v>
      </x:c>
      <x:c r="I97" s="21" t="n">
        <x:f>H97*O97</x:f>
        <x:v>0</x:v>
      </x:c>
      <x:c r="J97" s="20" t="n">
        <x:f>IF(G97=0,0,H97/G97)</x:f>
        <x:v>0.8177145003756574</x:v>
      </x:c>
      <x:c r="K97" s="20" t="n">
        <x:f>IFERROR(H97/(XLOOKUP(A97,Lotes!$A$4:$A$8,Lotes!$D$4:$D$8,Premissas!$B$9)+F97),0)</x:f>
        <x:v>4.485899877175194</x:v>
      </x:c>
      <x:c r="L97" s="19" t="str">
        <x:f>IF(E97=0,"Venda imediata",IF(E97&lt;=60,"Baixo",IF(E97&lt;=120,"Médio","Alto")))</x:f>
        <x:v>Alto</x:v>
      </x:c>
      <x:c r="M97" s="19" t="str">
        <x:f>IF(H97&lt;0,"Não comprar/tratar",IF(L97="Alto","Só se preço/pasto compensar","Viável"))</x:f>
        <x:v>Só se preço/pasto compensar</x:v>
      </x:c>
      <x:c r="N97" s="19" t="str">
        <x:f>IF(C97=12,"Testar margem incremental; não perseguir automaticamente","Comparar com giro e risco")</x:f>
        <x:v>Comparar com giro e risco</x:v>
      </x:c>
      <x:c r="O97" s="19" t="n">
        <x:f>XLOOKUP(A97,Lotes!$A$4:$A$8,Lotes!$B$4:$B$8,0)</x:f>
        <x:v>0</x:v>
      </x:c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  <x:c r="AA97" s="17"/>
      <x:c r="AB97" s="17"/>
    </x:row>
    <x:row r="98">
      <x:c r="A98" s="19" t="str">
        <x:v>Bezerras pequenas 4@</x:v>
      </x:c>
      <x:c r="B98" s="21" t="n">
        <x:v>350</x:v>
      </x:c>
      <x:c r="C98" s="23" t="n">
        <x:v>12</x:v>
      </x:c>
      <x:c r="D98" s="23" t="n">
        <x:f>XLOOKUP(A98,Lotes!$A$4:$A$8,Lotes!$C$4:$C$8,0)</x:f>
        <x:v>4</x:v>
      </x:c>
      <x:c r="E98" s="23" t="n">
        <x:f>MAX(0,(C98*Premissas!$B$5/Premissas!$B$4)-(D98*Premissas!$B$5/Premissas!$B$4))/SUMIFS('Cenários de GMD'!$C$4:$C$19,'Cenários de GMD'!$A$4:$A$19,"Econômica",'Cenários de GMD'!$B$4:$B$19,"Base")</x:f>
        <x:v>436.3636363636364</x:v>
      </x:c>
      <x:c r="F98" s="21" t="n">
        <x:f>(((D98*Premissas!$B$5/Premissas!$B$4)+(C98*Premissas!$B$5/Premissas!$B$4))/2)*(SUMIFS('Cenários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GMD'!$B$4:$B$19,"Base")*Insumos!$E$5)*E98</x:f>
        <x:v>855.526611570248</x:v>
      </x:c>
      <x:c r="G98" s="21" t="n">
        <x:f>B98*C98</x:f>
        <x:v>4200</x:v>
      </x:c>
      <x:c r="H98" s="21" t="n">
        <x:f>G98-XLOOKUP(A98,Lotes!$A$4:$A$8,Lotes!$D$4:$D$8,Premissas!$B$9)-F98</x:f>
        <x:v>3344.473388429752</x:v>
      </x:c>
      <x:c r="I98" s="21" t="n">
        <x:f>H98*O98</x:f>
        <x:v>0</x:v>
      </x:c>
      <x:c r="J98" s="20" t="n">
        <x:f>IF(G98=0,0,H98/G98)</x:f>
        <x:v>0.7963031877213695</x:v>
      </x:c>
      <x:c r="K98" s="20" t="n">
        <x:f>IFERROR(H98/(XLOOKUP(A98,Lotes!$A$4:$A$8,Lotes!$D$4:$D$8,Premissas!$B$9)+F98),0)</x:f>
        <x:v>3.9092569923584835</x:v>
      </x:c>
      <x:c r="L98" s="19" t="str">
        <x:f>IF(E98=0,"Venda imediata",IF(E98&lt;=60,"Baixo",IF(E98&lt;=120,"Médio","Alto")))</x:f>
        <x:v>Alto</x:v>
      </x:c>
      <x:c r="M98" s="19" t="str">
        <x:f>IF(H98&lt;0,"Não comprar/tratar",IF(L98="Alto","Só se preço/pasto compensar","Viável"))</x:f>
        <x:v>Só se preço/pasto compensar</x:v>
      </x:c>
      <x:c r="N98" s="19" t="str">
        <x:f>IF(C98=12,"Testar margem incremental; não perseguir automaticamente","Comparar com giro e risco")</x:f>
        <x:v>Testar margem incremental; não perseguir automaticamente</x:v>
      </x:c>
      <x:c r="O98" s="19" t="n">
        <x:f>XLOOKUP(A98,Lotes!$A$4:$A$8,Lotes!$B$4:$B$8,0)</x:f>
        <x:v>0</x:v>
      </x:c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  <x:c r="AA98" s="17"/>
      <x:c r="AB98" s="17"/>
    </x:row>
    <x:row r="99">
      <x:c r="A99" s="19" t="str">
        <x:v>Bezerras pequenas 4@</x:v>
      </x:c>
      <x:c r="B99" s="21" t="n">
        <x:v>370</x:v>
      </x:c>
      <x:c r="C99" s="23" t="n">
        <x:v>8.5</x:v>
      </x:c>
      <x:c r="D99" s="23" t="n">
        <x:f>XLOOKUP(A99,Lotes!$A$4:$A$8,Lotes!$C$4:$C$8,0)</x:f>
        <x:v>4</x:v>
      </x:c>
      <x:c r="E99" s="23" t="n">
        <x:f>MAX(0,(C99*Premissas!$B$5/Premissas!$B$4)-(D99*Premissas!$B$5/Premissas!$B$4))/SUMIFS('Cenários de GMD'!$C$4:$C$19,'Cenários de GMD'!$A$4:$A$19,"Econômica",'Cenários de GMD'!$B$4:$B$19,"Base")</x:f>
        <x:v>245.45454545454547</x:v>
      </x:c>
      <x:c r="F99" s="21" t="n">
        <x:f>(((D99*Premissas!$B$5/Premissas!$B$4)+(C99*Premissas!$B$5/Premissas!$B$4))/2)*(SUMIFS('Cenários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GMD'!$B$4:$B$19,"Base")*Insumos!$E$5)*E99</x:f>
        <x:v>375.96384297520666</x:v>
      </x:c>
      <x:c r="G99" s="21" t="n">
        <x:f>B99*C99</x:f>
        <x:v>3145</x:v>
      </x:c>
      <x:c r="H99" s="21" t="n">
        <x:f>G99-XLOOKUP(A99,Lotes!$A$4:$A$8,Lotes!$D$4:$D$8,Premissas!$B$9)-F99</x:f>
        <x:v>2769.0361570247933</x:v>
      </x:c>
      <x:c r="I99" s="21" t="n">
        <x:f>H99*O99</x:f>
        <x:v>0</x:v>
      </x:c>
      <x:c r="J99" s="20" t="n">
        <x:f>IF(G99=0,0,H99/G99)</x:f>
        <x:v>0.880456647702637</x:v>
      </x:c>
      <x:c r="K99" s="20" t="n">
        <x:f>IFERROR(H99/(XLOOKUP(A99,Lotes!$A$4:$A$8,Lotes!$D$4:$D$8,Premissas!$B$9)+F99),0)</x:f>
        <x:v>7.365166115741083</x:v>
      </x:c>
      <x:c r="L99" s="19" t="str">
        <x:f>IF(E99=0,"Venda imediata",IF(E99&lt;=60,"Baixo",IF(E99&lt;=120,"Médio","Alto")))</x:f>
        <x:v>Alto</x:v>
      </x:c>
      <x:c r="M99" s="19" t="str">
        <x:f>IF(H99&lt;0,"Não comprar/tratar",IF(L99="Alto","Só se preço/pasto compensar","Viável"))</x:f>
        <x:v>Só se preço/pasto compensar</x:v>
      </x:c>
      <x:c r="N99" s="19" t="str">
        <x:f>IF(C99=12,"Testar margem incremental; não perseguir automaticamente","Comparar com giro e risco")</x:f>
        <x:v>Comparar com giro e risco</x:v>
      </x:c>
      <x:c r="O99" s="19" t="n">
        <x:f>XLOOKUP(A99,Lotes!$A$4:$A$8,Lotes!$B$4:$B$8,0)</x:f>
        <x:v>0</x:v>
      </x:c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</x:row>
    <x:row r="100">
      <x:c r="A100" s="19" t="str">
        <x:v>Bezerras pequenas 4@</x:v>
      </x:c>
      <x:c r="B100" s="21" t="n">
        <x:v>370</x:v>
      </x:c>
      <x:c r="C100" s="23" t="n">
        <x:v>9</x:v>
      </x:c>
      <x:c r="D100" s="23" t="n">
        <x:f>XLOOKUP(A100,Lotes!$A$4:$A$8,Lotes!$C$4:$C$8,0)</x:f>
        <x:v>4</x:v>
      </x:c>
      <x:c r="E100" s="23" t="n">
        <x:f>MAX(0,(C100*Premissas!$B$5/Premissas!$B$4)-(D100*Premissas!$B$5/Premissas!$B$4))/SUMIFS('Cenários de GMD'!$C$4:$C$19,'Cenários de GMD'!$A$4:$A$19,"Econômica",'Cenários de GMD'!$B$4:$B$19,"Base")</x:f>
        <x:v>272.72727272727275</x:v>
      </x:c>
      <x:c r="F100" s="21" t="n">
        <x:f>(((D100*Premissas!$B$5/Premissas!$B$4)+(C100*Premissas!$B$5/Premissas!$B$4))/2)*(SUMIFS('Cenários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GMD'!$B$4:$B$19,"Base")*Insumos!$E$5)*E100</x:f>
        <x:v>434.44710743801653</x:v>
      </x:c>
      <x:c r="G100" s="21" t="n">
        <x:f>B100*C100</x:f>
        <x:v>3330</x:v>
      </x:c>
      <x:c r="H100" s="21" t="n">
        <x:f>G100-XLOOKUP(A100,Lotes!$A$4:$A$8,Lotes!$D$4:$D$8,Premissas!$B$9)-F100</x:f>
        <x:v>2895.5528925619833</x:v>
      </x:c>
      <x:c r="I100" s="21" t="n">
        <x:f>H100*O100</x:f>
        <x:v>0</x:v>
      </x:c>
      <x:c r="J100" s="20" t="n">
        <x:f>IF(G100=0,0,H100/G100)</x:f>
        <x:v>0.8695354031717668</x:v>
      </x:c>
      <x:c r="K100" s="20" t="n">
        <x:f>IFERROR(H100/(XLOOKUP(A100,Lotes!$A$4:$A$8,Lotes!$D$4:$D$8,Premissas!$B$9)+F100),0)</x:f>
        <x:v>6.664914653563662</x:v>
      </x:c>
      <x:c r="L100" s="19" t="str">
        <x:f>IF(E100=0,"Venda imediata",IF(E100&lt;=60,"Baixo",IF(E100&lt;=120,"Médio","Alto")))</x:f>
        <x:v>Alto</x:v>
      </x:c>
      <x:c r="M100" s="19" t="str">
        <x:f>IF(H100&lt;0,"Não comprar/tratar",IF(L100="Alto","Só se preço/pasto compensar","Viável"))</x:f>
        <x:v>Só se preço/pasto compensar</x:v>
      </x:c>
      <x:c r="N100" s="19" t="str">
        <x:f>IF(C100=12,"Testar margem incremental; não perseguir automaticamente","Comparar com giro e risco")</x:f>
        <x:v>Comparar com giro e risco</x:v>
      </x:c>
      <x:c r="O100" s="19" t="n">
        <x:f>XLOOKUP(A100,Lotes!$A$4:$A$8,Lotes!$B$4:$B$8,0)</x:f>
        <x:v>0</x:v>
      </x:c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</x:row>
    <x:row r="101">
      <x:c r="A101" s="19" t="str">
        <x:v>Bezerras pequenas 4@</x:v>
      </x:c>
      <x:c r="B101" s="21" t="n">
        <x:v>370</x:v>
      </x:c>
      <x:c r="C101" s="23" t="n">
        <x:v>10.5</x:v>
      </x:c>
      <x:c r="D101" s="23" t="n">
        <x:f>XLOOKUP(A101,Lotes!$A$4:$A$8,Lotes!$C$4:$C$8,0)</x:f>
        <x:v>4</x:v>
      </x:c>
      <x:c r="E101" s="23" t="n">
        <x:f>MAX(0,(C101*Premissas!$B$5/Premissas!$B$4)-(D101*Premissas!$B$5/Premissas!$B$4))/SUMIFS('Cenários de GMD'!$C$4:$C$19,'Cenários de GMD'!$A$4:$A$19,"Econômica",'Cenários de GMD'!$B$4:$B$19,"Base")</x:f>
        <x:v>354.5454545454545</x:v>
      </x:c>
      <x:c r="F101" s="21" t="n">
        <x:f>(((D101*Premissas!$B$5/Premissas!$B$4)+(C101*Premissas!$B$5/Premissas!$B$4))/2)*(SUMIFS('Cenários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GMD'!$B$4:$B$19,"Base")*Insumos!$E$5)*E101</x:f>
        <x:v>629.9483057851238</x:v>
      </x:c>
      <x:c r="G101" s="21" t="n">
        <x:f>B101*C101</x:f>
        <x:v>3885</x:v>
      </x:c>
      <x:c r="H101" s="21" t="n">
        <x:f>G101-XLOOKUP(A101,Lotes!$A$4:$A$8,Lotes!$D$4:$D$8,Premissas!$B$9)-F101</x:f>
        <x:v>3255.051694214876</x:v>
      </x:c>
      <x:c r="I101" s="21" t="n">
        <x:f>H101*O101</x:f>
        <x:v>0</x:v>
      </x:c>
      <x:c r="J101" s="20" t="n">
        <x:f>IF(G101=0,0,H101/G101)</x:f>
        <x:v>0.8378511439420531</x:v>
      </x:c>
      <x:c r="K101" s="20" t="n">
        <x:f>IFERROR(H101/(XLOOKUP(A101,Lotes!$A$4:$A$8,Lotes!$D$4:$D$8,Premissas!$B$9)+F101),0)</x:f>
        <x:v>5.167172709763868</x:v>
      </x:c>
      <x:c r="L101" s="19" t="str">
        <x:f>IF(E101=0,"Venda imediata",IF(E101&lt;=60,"Baixo",IF(E101&lt;=120,"Médio","Alto")))</x:f>
        <x:v>Alto</x:v>
      </x:c>
      <x:c r="M101" s="19" t="str">
        <x:f>IF(H101&lt;0,"Não comprar/tratar",IF(L101="Alto","Só se preço/pasto compensar","Viável"))</x:f>
        <x:v>Só se preço/pasto compensar</x:v>
      </x:c>
      <x:c r="N101" s="19" t="str">
        <x:f>IF(C101=12,"Testar margem incremental; não perseguir automaticamente","Comparar com giro e risco")</x:f>
        <x:v>Comparar com giro e risco</x:v>
      </x:c>
      <x:c r="O101" s="19" t="n">
        <x:f>XLOOKUP(A101,Lotes!$A$4:$A$8,Lotes!$B$4:$B$8,0)</x:f>
        <x:v>0</x:v>
      </x:c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</x:row>
    <x:row r="102">
      <x:c r="A102" s="19" t="str">
        <x:v>Bezerras pequenas 4@</x:v>
      </x:c>
      <x:c r="B102" s="21" t="n">
        <x:v>370</x:v>
      </x:c>
      <x:c r="C102" s="23" t="n">
        <x:v>11</x:v>
      </x:c>
      <x:c r="D102" s="23" t="n">
        <x:f>XLOOKUP(A102,Lotes!$A$4:$A$8,Lotes!$C$4:$C$8,0)</x:f>
        <x:v>4</x:v>
      </x:c>
      <x:c r="E102" s="23" t="n">
        <x:f>MAX(0,(C102*Premissas!$B$5/Premissas!$B$4)-(D102*Premissas!$B$5/Premissas!$B$4))/SUMIFS('Cenários de GMD'!$C$4:$C$19,'Cenários de GMD'!$A$4:$A$19,"Econômica",'Cenários de GMD'!$B$4:$B$19,"Base")</x:f>
        <x:v>381.81818181818187</x:v>
      </x:c>
      <x:c r="F102" s="21" t="n">
        <x:f>(((D102*Premissas!$B$5/Premissas!$B$4)+(C102*Premissas!$B$5/Premissas!$B$4))/2)*(SUMIFS('Cenários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GMD'!$B$4:$B$19,"Base")*Insumos!$E$5)*E102</x:f>
        <x:v>701.7991735537191</x:v>
      </x:c>
      <x:c r="G102" s="21" t="n">
        <x:f>B102*C102</x:f>
        <x:v>4070</x:v>
      </x:c>
      <x:c r="H102" s="21" t="n">
        <x:f>G102-XLOOKUP(A102,Lotes!$A$4:$A$8,Lotes!$D$4:$D$8,Premissas!$B$9)-F102</x:f>
        <x:v>3368.200826446281</x:v>
      </x:c>
      <x:c r="I102" s="21" t="n">
        <x:f>H102*O102</x:f>
        <x:v>0</x:v>
      </x:c>
      <x:c r="J102" s="20" t="n">
        <x:f>IF(G102=0,0,H102/G102)</x:f>
        <x:v>0.8275677706256219</x:v>
      </x:c>
      <x:c r="K102" s="20" t="n">
        <x:f>IFERROR(H102/(XLOOKUP(A102,Lotes!$A$4:$A$8,Lotes!$D$4:$D$8,Premissas!$B$9)+F102),0)</x:f>
        <x:v>4.799379870156633</x:v>
      </x:c>
      <x:c r="L102" s="19" t="str">
        <x:f>IF(E102=0,"Venda imediata",IF(E102&lt;=60,"Baixo",IF(E102&lt;=120,"Médio","Alto")))</x:f>
        <x:v>Alto</x:v>
      </x:c>
      <x:c r="M102" s="19" t="str">
        <x:f>IF(H102&lt;0,"Não comprar/tratar",IF(L102="Alto","Só se preço/pasto compensar","Viável"))</x:f>
        <x:v>Só se preço/pasto compensar</x:v>
      </x:c>
      <x:c r="N102" s="19" t="str">
        <x:f>IF(C102=12,"Testar margem incremental; não perseguir automaticamente","Comparar com giro e risco")</x:f>
        <x:v>Comparar com giro e risco</x:v>
      </x:c>
      <x:c r="O102" s="19" t="n">
        <x:f>XLOOKUP(A102,Lotes!$A$4:$A$8,Lotes!$B$4:$B$8,0)</x:f>
        <x:v>0</x:v>
      </x:c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  <x:c r="AA102" s="17"/>
      <x:c r="AB102" s="17"/>
    </x:row>
    <x:row r="103">
      <x:c r="A103" s="19" t="str">
        <x:v>Bezerras pequenas 4@</x:v>
      </x:c>
      <x:c r="B103" s="21" t="n">
        <x:v>370</x:v>
      </x:c>
      <x:c r="C103" s="23" t="n">
        <x:v>12</x:v>
      </x:c>
      <x:c r="D103" s="23" t="n">
        <x:f>XLOOKUP(A103,Lotes!$A$4:$A$8,Lotes!$C$4:$C$8,0)</x:f>
        <x:v>4</x:v>
      </x:c>
      <x:c r="E103" s="23" t="n">
        <x:f>MAX(0,(C103*Premissas!$B$5/Premissas!$B$4)-(D103*Premissas!$B$5/Premissas!$B$4))/SUMIFS('Cenários de GMD'!$C$4:$C$19,'Cenários de GMD'!$A$4:$A$19,"Econômica",'Cenários de GMD'!$B$4:$B$19,"Base")</x:f>
        <x:v>436.3636363636364</x:v>
      </x:c>
      <x:c r="F103" s="21" t="n">
        <x:f>(((D103*Premissas!$B$5/Premissas!$B$4)+(C103*Premissas!$B$5/Premissas!$B$4))/2)*(SUMIFS('Cenários de GMD'!$D$4:$D$19,'Cenários de GMD'!$A$4:$A$19,"Econômica",'Cenários de GMD'!$B$4:$B$19,"Base")*Insumos!$E$4+SUMIFS('Cenários de GMD'!$E$4:$E$19,'Cenários de GMD'!$A$4:$A$19,"Econômica",'Cenários de GMD'!$B$4:$B$19,"Base")*Insumos!$E$5)*E103</x:f>
        <x:v>855.526611570248</x:v>
      </x:c>
      <x:c r="G103" s="21" t="n">
        <x:f>B103*C103</x:f>
        <x:v>4440</x:v>
      </x:c>
      <x:c r="H103" s="21" t="n">
        <x:f>G103-XLOOKUP(A103,Lotes!$A$4:$A$8,Lotes!$D$4:$D$8,Premissas!$B$9)-F103</x:f>
        <x:v>3584.473388429752</x:v>
      </x:c>
      <x:c r="I103" s="21" t="n">
        <x:f>H103*O103</x:f>
        <x:v>0</x:v>
      </x:c>
      <x:c r="J103" s="20" t="n">
        <x:f>IF(G103=0,0,H103/G103)</x:f>
        <x:v>0.8073138262229171</x:v>
      </x:c>
      <x:c r="K103" s="20" t="n">
        <x:f>IFERROR(H103/(XLOOKUP(A103,Lotes!$A$4:$A$8,Lotes!$D$4:$D$8,Premissas!$B$9)+F103),0)</x:f>
        <x:v>4.189785963350396</x:v>
      </x:c>
      <x:c r="L103" s="19" t="str">
        <x:f>IF(E103=0,"Venda imediata",IF(E103&lt;=60,"Baixo",IF(E103&lt;=120,"Médio","Alto")))</x:f>
        <x:v>Alto</x:v>
      </x:c>
      <x:c r="M103" s="19" t="str">
        <x:f>IF(H103&lt;0,"Não comprar/tratar",IF(L103="Alto","Só se preço/pasto compensar","Viável"))</x:f>
        <x:v>Só se preço/pasto compensar</x:v>
      </x:c>
      <x:c r="N103" s="19" t="str">
        <x:f>IF(C103=12,"Testar margem incremental; não perseguir automaticamente","Comparar com giro e risco")</x:f>
        <x:v>Testar margem incremental; não perseguir automaticamente</x:v>
      </x:c>
      <x:c r="O103" s="19" t="n">
        <x:f>XLOOKUP(A103,Lotes!$A$4:$A$8,Lotes!$B$4:$B$8,0)</x:f>
        <x:v>0</x:v>
      </x:c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  <x:c r="AA103" s="17"/>
      <x:c r="AB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  <x:c r="AA104" s="17"/>
      <x:c r="AB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  <x:c r="AA105" s="17"/>
      <x:c r="AB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  <x:c r="AA107" s="17"/>
      <x:c r="AB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  <x:c r="AA110" s="17"/>
      <x:c r="AB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  <x:c r="AA114" s="17"/>
      <x:c r="AB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  <x:c r="AA117" s="17"/>
      <x:c r="AB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  <x:c r="AA119" s="17"/>
      <x:c r="AB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  <x:c r="AA120" s="17"/>
      <x:c r="AB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  <x:c r="AA121" s="17"/>
      <x:c r="AB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  <x:c r="AA122" s="17"/>
      <x:c r="AB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  <x:c r="AA123" s="17"/>
      <x:c r="AB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  <x:c r="AA125" s="17"/>
      <x:c r="AB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  <x:c r="AA126" s="17"/>
      <x:c r="AB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  <x:c r="AA127" s="17"/>
      <x:c r="AB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  <x:c r="AA128" s="17"/>
      <x:c r="AB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  <x:c r="AA129" s="17"/>
      <x:c r="AB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  <x:c r="AA130" s="17"/>
      <x:c r="AB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  <x:c r="AA131" s="17"/>
      <x:c r="AB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  <x:c r="AA132" s="17"/>
      <x:c r="AB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  <x:c r="AA133" s="17"/>
      <x:c r="AB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  <x:c r="AA136" s="17"/>
      <x:c r="AB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  <x:c r="AA137" s="17"/>
      <x:c r="AB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  <x:c r="AA140" s="17"/>
      <x:c r="AB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  <x:c r="AA143" s="17"/>
      <x:c r="AB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  <x:c r="AA144" s="17"/>
      <x:c r="AB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  <x:c r="AA145" s="17"/>
      <x:c r="AB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  <x:c r="AA146" s="17"/>
      <x:c r="AB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  <x:c r="AA147" s="17"/>
      <x:c r="AB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  <x:c r="AA149" s="17"/>
      <x:c r="AB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  <x:c r="AA151" s="17"/>
      <x:c r="AB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  <x:c r="AA152" s="17"/>
      <x:c r="AB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  <x:c r="AA153" s="17"/>
      <x:c r="AB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  <x:c r="AA155" s="17"/>
      <x:c r="AB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  <x:c r="AA156" s="17"/>
      <x:c r="AB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  <x:c r="AA158" s="17"/>
      <x:c r="AB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  <x:c r="AA159" s="17"/>
      <x:c r="AB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  <x:c r="AA160" s="17"/>
      <x:c r="AB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  <x:c r="AA163" s="17"/>
      <x:c r="AB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  <x:c r="AA164" s="17"/>
      <x:c r="AB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  <x:c r="AA165" s="17"/>
      <x:c r="AB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  <x:c r="AA166" s="17"/>
      <x:c r="AB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  <x:c r="AA168" s="17"/>
      <x:c r="AB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  <x:c r="AA169" s="17"/>
      <x:c r="AB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  <x:c r="AA171" s="17"/>
      <x:c r="AB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  <x:c r="AA172" s="17"/>
      <x:c r="AB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  <x:c r="AA173" s="17"/>
      <x:c r="AB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  <x:c r="AA174" s="17"/>
      <x:c r="AB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  <x:c r="AA175" s="17"/>
      <x:c r="AB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  <x:c r="AA176" s="17"/>
      <x:c r="AB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  <x:c r="AA178" s="17"/>
      <x:c r="AB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  <x:c r="AA180" s="17"/>
      <x:c r="AB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  <x:c r="AA181" s="17"/>
      <x:c r="AB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  <x:c r="AA182" s="17"/>
      <x:c r="AB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  <x:c r="AA184" s="17"/>
      <x:c r="AB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  <x:c r="AA185" s="17"/>
      <x:c r="AB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  <x:c r="AA187" s="17"/>
      <x:c r="AB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  <x:c r="AA190" s="17"/>
      <x:c r="AB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  <x:c r="AA191" s="17"/>
      <x:c r="AB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  <x:c r="AA192" s="17"/>
      <x:c r="AB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  <x:c r="AA193" s="17"/>
      <x:c r="AB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  <x:c r="AA196" s="17"/>
      <x:c r="AB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  <x:c r="AA197" s="17"/>
      <x:c r="AB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  <x:c r="AA200" s="17"/>
      <x:c r="AB200" s="17"/>
    </x:row>
  </x:sheetData>
  <x:mergeCells>
    <x:mergeCell ref="A1:O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3.7400016784668" hidden="0" customWidth="1"/>
    <x:col min="2" max="2" width="60.7400016784668" hidden="0" customWidth="1"/>
    <x:col min="3" max="3" width="19.6299991607666" hidden="0" customWidth="1"/>
    <x:col min="4" max="4" width="47.2400016784668" hidden="0" customWidth="1"/>
  </x:cols>
  <x:sheetData>
    <x:row r="1" ht="25.5" customHeight="1">
      <x:c r="A1" s="16" t="str">
        <x:v>Resumo executivo e recomendação objetiva</x:v>
      </x:c>
      <x:c r="B1" s="16"/>
      <x:c r="C1" s="16"/>
      <x:c r="D1" s="16"/>
      <x:c r="E1" s="16"/>
      <x:c r="F1" s="16"/>
      <x:c r="G1" s="16"/>
      <x:c r="H1" s="16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  <x:c r="AA1" s="17"/>
      <x:c r="AB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</x:row>
    <x:row r="3">
      <x:c r="A3" s="18" t="str">
        <x:v>Pergunta</x:v>
      </x:c>
      <x:c r="B3" s="18" t="str">
        <x:v>Resposta automática</x:v>
      </x:c>
      <x:c r="C3" s="18" t="str">
        <x:v>Critério</x:v>
      </x:c>
      <x:c r="D3" s="18" t="str">
        <x:v>Leitura de campo</x:v>
      </x:c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  <x:c r="AA3" s="17"/>
      <x:c r="AB3" s="17"/>
    </x:row>
    <x:row r="4">
      <x:c r="A4" s="19" t="str">
        <x:v>Melhor lucro absoluto</x:v>
      </x:c>
      <x:c r="B4" s="25" t="str">
        <x:f>INDEX('Resultado econômico'!$A$4:$A$303,MATCH(MAXIFS('Resultado econômico'!$V$4:$V$303,'Resultado econômico'!$F$4:$F$303,"&gt;0"),'Resultado econômico'!$V$4:$V$303,0))&amp;" | "&amp;INDEX('Resultado econômico'!$B$4:$B$303,MATCH(MAXIFS('Resultado econômico'!$V$4:$V$303,'Resultado econômico'!$F$4:$F$303,"&gt;0"),'Resultado econômico'!$V$4:$V$303,0))&amp;" | "&amp;INDEX('Resultado econômico'!$D$4:$D$303,MATCH(MAXIFS('Resultado econômico'!$V$4:$V$303,'Resultado econômico'!$F$4:$F$303,"&gt;0"),'Resultado econômico'!$V$4:$V$303,0))&amp;"@ | R$ "&amp;TEXT(MAXIFS('Resultado econômico'!$V$4:$V$303,'Resultado econômico'!$F$4:$F$303,"&gt;0"),"#,##0")</x:f>
        <x:v>Lote maior - otimista 9@ | Somente Fortis | 12@ | R$ 31,751</x:v>
      </x:c>
      <x:c r="C4" s="25" t="str">
        <x:v>Maior lucro total</x:v>
      </x:c>
      <x:c r="D4" s="25" t="str">
        <x:v>Pode exigir mais dias; conferir risco seca.</x:v>
      </x:c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  <x:c r="AA4" s="17"/>
      <x:c r="AB4" s="17"/>
    </x:row>
    <x:row r="5">
      <x:c r="A5" s="19" t="str">
        <x:v>Melhor giro do capital</x:v>
      </x:c>
      <x:c r="B5" s="25" t="str">
        <x:f>INDEX('Resultado econômico'!$A$4:$A$303,MATCH(MAXIFS('Resultado econômico'!$Z$4:$Z$303,'Resultado econômico'!$F$4:$F$303,"&gt;0",'Resultado econômico'!$L$4:$L$303,"&gt;0"),'Resultado econômico'!$Z$4:$Z$303,0))&amp;" | "&amp;INDEX('Resultado econômico'!$B$4:$B$303,MATCH(MAXIFS('Resultado econômico'!$Z$4:$Z$303,'Resultado econômico'!$F$4:$F$303,"&gt;0",'Resultado econômico'!$L$4:$L$303,"&gt;0"),'Resultado econômico'!$Z$4:$Z$303,0))&amp;" | "&amp;INDEX('Resultado econômico'!$D$4:$D$303,MATCH(MAXIFS('Resultado econômico'!$Z$4:$Z$303,'Resultado econômico'!$F$4:$F$303,"&gt;0",'Resultado econômico'!$L$4:$L$303,"&gt;0"),'Resultado econômico'!$Z$4:$Z$303,0))&amp;"@ | "&amp;TEXT(MAXIFS('Resultado econômico'!$Z$4:$Z$303,'Resultado econômico'!$F$4:$F$303,"&gt;0",'Resultado econômico'!$L$4:$L$303,"&gt;0"),"0.0%")&amp;" a.m."</x:f>
        <x:v>Lote maior - otimista 9@ | Agressiva | 10.5@ | 51.3% a.m.</x:v>
      </x:c>
      <x:c r="C5" s="25" t="str">
        <x:v>Maior ROI mensal</x:v>
      </x:c>
      <x:c r="D5" s="25" t="str">
        <x:v>Prioriza rapidez e capital rodando.</x:v>
      </x:c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  <x:c r="AA5" s="17"/>
      <x:c r="AB5" s="17"/>
    </x:row>
    <x:row r="6">
      <x:c r="A6" s="19" t="str">
        <x:v>Melhor margem</x:v>
      </x:c>
      <x:c r="B6" s="25" t="str">
        <x:f>INDEX('Resultado econômico'!$A$4:$A$303,MATCH(MAXIFS('Resultado econômico'!$W$4:$W$303,'Resultado econômico'!$F$4:$F$303,"&gt;0"),'Resultado econômico'!$W$4:$W$303,0))&amp;" | "&amp;INDEX('Resultado econômico'!$B$4:$B$303,MATCH(MAXIFS('Resultado econômico'!$W$4:$W$303,'Resultado econômico'!$F$4:$F$303,"&gt;0"),'Resultado econômico'!$W$4:$W$303,0))&amp;" | "&amp;INDEX('Resultado econômico'!$D$4:$D$303,MATCH(MAXIFS('Resultado econômico'!$W$4:$W$303,'Resultado econômico'!$F$4:$F$303,"&gt;0"),'Resultado econômico'!$W$4:$W$303,0))&amp;"@ | "&amp;TEXT(MAXIFS('Resultado econômico'!$W$4:$W$303,'Resultado econômico'!$F$4:$F$303,"&gt;0"),"0.0%")</x:f>
        <x:v>Lote maior - otimista 9@ | Somente Fortis | 12@ | 47.2%</x:v>
      </x:c>
      <x:c r="C6" s="25" t="str">
        <x:v>Maior margem %</x:v>
      </x:c>
      <x:c r="D6" s="25" t="str">
        <x:v>Útil quando risco e caixa importam mais que escala.</x:v>
      </x:c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  <x:c r="AA6" s="17"/>
      <x:c r="AB6" s="17"/>
    </x:row>
    <x:row r="7">
      <x:c r="A7" s="19" t="str">
        <x:v>Lote maior</x:v>
      </x:c>
      <x:c r="B7" s="25" t="str">
        <x:v>Avaliar venda em 10,5@ a 11@ com estratégia Econômica ou Intermediária.</x:v>
      </x:c>
      <x:c r="C7" s="25" t="str">
        <x:v>Giro rápido</x:v>
      </x:c>
      <x:c r="D7" s="25" t="str">
        <x:v>Não travar capital buscando 12@ se o pasto secar.</x:v>
      </x:c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  <x:c r="AA7" s="17"/>
      <x:c r="AB7" s="17"/>
    </x:row>
    <x:row r="8">
      <x:c r="A8" s="19" t="str">
        <x:v>Grupo médio</x:v>
      </x:c>
      <x:c r="B8" s="25" t="str">
        <x:v>Testar Comigo 0,3% a 0,5% PV conforme resposta de pasto.</x:v>
      </x:c>
      <x:c r="C8" s="25" t="str">
        <x:v>Equilíbrio</x:v>
      </x:c>
      <x:c r="D8" s="25" t="str">
        <x:v>Se GMD cair abaixo de 0,4 kg/dia, recalcular.</x:v>
      </x:c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  <x:c r="AA8" s="17"/>
      <x:c r="AB8" s="17"/>
    </x:row>
    <x:row r="9">
      <x:c r="A9" s="19" t="str">
        <x:v>Bezerras pequenas</x:v>
      </x:c>
      <x:c r="B9" s="25" t="str">
        <x:v>Priorizar crescimento barato; evitar consumo agressivo.</x:v>
      </x:c>
      <x:c r="C9" s="25" t="str">
        <x:v>Risco/categoria</x:v>
      </x:c>
      <x:c r="D9" s="25" t="str">
        <x:v>Proteinado e manejo de pasto antes de engorda pesada.</x:v>
      </x:c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</x:row>
    <x:row r="10">
      <x:c r="A10" s="19" t="str">
        <x:v>Regra prática</x:v>
      </x:c>
      <x:c r="B10" s="25" t="str">
        <x:v>Vender antes quando dias adicionais elevam risco e reduzem ROI mensal.</x:v>
      </x:c>
      <x:c r="C10" s="25" t="str">
        <x:v>Seca</x:v>
      </x:c>
      <x:c r="D10" s="25" t="str">
        <x:v>Margem incremental manda mais que peso final.</x:v>
      </x:c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</x:row>
    <x:row r="13">
      <x:c r="A13" s="18" t="str">
        <x:v>Tabela executiva: lote maior, estratégia Econômica, GMD Base</x:v>
      </x:c>
      <x:c r="B13" s="18" t="str">
        <x:v>Meta @</x:v>
      </x:c>
      <x:c r="C13" s="18" t="str">
        <x:v>Dias</x:v>
      </x:c>
      <x:c r="D13" s="18" t="str">
        <x:v>Custo alim/cab</x:v>
      </x:c>
      <x:c r="E13" s="18" t="str">
        <x:v>Receita/cab</x:v>
      </x:c>
      <x:c r="F13" s="18" t="str">
        <x:v>Lucro/cab</x:v>
      </x:c>
      <x:c r="G13" s="18" t="str">
        <x:v>Margem</x:v>
      </x:c>
      <x:c r="H13" s="18" t="str">
        <x:v>Sinal</x:v>
      </x:c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</x:row>
    <x:row r="14">
      <x:c r="A14" s="19" t="str">
        <x:v>Lote maior - base 8,5@</x:v>
      </x:c>
      <x:c r="B14" s="23" t="n">
        <x:v>8.5</x:v>
      </x:c>
      <x:c r="C14" s="23" t="n">
        <x:f>INDEX('Resultado econômico'!$L$4:$L$323,MATCH(1,('Resultado econômico'!$A$4:$A$323="Lote maior - base 8,5@")*('Resultado econômico'!$B$4:$B$323="Econômica")*('Resultado econômico'!$C$4:$C$323="Base")*('Resultado econômico'!$D$4:$D$323=B14),0))</x:f>
        <x:v>0</x:v>
      </x:c>
      <x:c r="D14" s="21" t="n">
        <x:f>INDEX('Resultado econômico'!$Q$4:$Q$323,MATCH(1,('Resultado econômico'!$A$4:$A$323="Lote maior - base 8,5@")*('Resultado econômico'!$B$4:$B$323="Econômica")*('Resultado econômico'!$C$4:$C$323="Base")*('Resultado econômico'!$D$4:$D$323=B14),0))</x:f>
        <x:v>0</x:v>
      </x:c>
      <x:c r="E14" s="21" t="n">
        <x:f>INDEX('Resultado econômico'!$S$4:$S$323,MATCH(1,('Resultado econômico'!$A$4:$A$323="Lote maior - base 8,5@")*('Resultado econômico'!$B$4:$B$323="Econômica")*('Resultado econômico'!$C$4:$C$323="Base")*('Resultado econômico'!$D$4:$D$323=B14),0))</x:f>
        <x:v>2805</x:v>
      </x:c>
      <x:c r="F14" s="21" t="n">
        <x:f>INDEX('Resultado econômico'!$U$4:$U$323,MATCH(1,('Resultado econômico'!$A$4:$A$323="Lote maior - base 8,5@")*('Resultado econômico'!$B$4:$B$323="Econômica")*('Resultado econômico'!$C$4:$C$323="Base")*('Resultado econômico'!$D$4:$D$323=B14),0))</x:f>
        <x:v>855</x:v>
      </x:c>
      <x:c r="G14" s="20" t="n">
        <x:f>INDEX('Resultado econômico'!$W$4:$W$323,MATCH(1,('Resultado econômico'!$A$4:$A$323="Lote maior - base 8,5@")*('Resultado econômico'!$B$4:$B$323="Econômica")*('Resultado econômico'!$C$4:$C$323="Base")*('Resultado econômico'!$D$4:$D$323=B14),0))</x:f>
        <x:v>0.3048128342245989</x:v>
      </x:c>
      <x:c r="H14" s="19" t="str">
        <x:f>INDEX('Resultado econômico'!$AB$4:$AB$323,MATCH(1,('Resultado econômico'!$A$4:$A$323="Lote maior - base 8,5@")*('Resultado econômico'!$B$4:$B$323="Econômica")*('Resultado econômico'!$C$4:$C$323="Base")*('Resultado econômico'!$D$4:$D$323=B14),0))</x:f>
        <x:v>Bom giro</x:v>
      </x:c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</x:row>
    <x:row r="15">
      <x:c r="A15" s="19" t="str">
        <x:v>Lote maior - base 8,5@</x:v>
      </x:c>
      <x:c r="B15" s="23" t="n">
        <x:v>9</x:v>
      </x:c>
      <x:c r="C15" s="23" t="n">
        <x:f>INDEX('Resultado econômico'!$L$4:$L$323,MATCH(1,('Resultado econômico'!$A$4:$A$323="Lote maior - base 8,5@")*('Resultado econômico'!$B$4:$B$323="Econômica")*('Resultado econômico'!$C$4:$C$323="Base")*('Resultado econômico'!$D$4:$D$323=B15),0))</x:f>
        <x:v>27.272727272727252</x:v>
      </x:c>
      <x:c r="D15" s="21" t="n">
        <x:f>INDEX('Resultado econômico'!$Q$4:$Q$323,MATCH(1,('Resultado econômico'!$A$4:$A$323="Lote maior - base 8,5@")*('Resultado econômico'!$B$4:$B$323="Econômica")*('Resultado econômico'!$C$4:$C$323="Base")*('Resultado econômico'!$D$4:$D$323=B15),0))</x:f>
        <x:v>58.48326446280987</x:v>
      </x:c>
      <x:c r="E15" s="21" t="n">
        <x:f>INDEX('Resultado econômico'!$S$4:$S$323,MATCH(1,('Resultado econômico'!$A$4:$A$323="Lote maior - base 8,5@")*('Resultado econômico'!$B$4:$B$323="Econômica")*('Resultado econômico'!$C$4:$C$323="Base")*('Resultado econômico'!$D$4:$D$323=B15),0))</x:f>
        <x:v>2970</x:v>
      </x:c>
      <x:c r="F15" s="21" t="n">
        <x:f>INDEX('Resultado econômico'!$U$4:$U$323,MATCH(1,('Resultado econômico'!$A$4:$A$323="Lote maior - base 8,5@")*('Resultado econômico'!$B$4:$B$323="Econômica")*('Resultado econômico'!$C$4:$C$323="Base")*('Resultado econômico'!$D$4:$D$323=B15),0))</x:f>
        <x:v>961.5167355371901</x:v>
      </x:c>
      <x:c r="G15" s="20" t="n">
        <x:f>INDEX('Resultado econômico'!$W$4:$W$323,MATCH(1,('Resultado econômico'!$A$4:$A$323="Lote maior - base 8,5@")*('Resultado econômico'!$B$4:$B$323="Econômica")*('Resultado econômico'!$C$4:$C$323="Base")*('Resultado econômico'!$D$4:$D$323=B15),0))</x:f>
        <x:v>0.3237430085983805</x:v>
      </x:c>
      <x:c r="H15" s="19" t="str">
        <x:f>INDEX('Resultado econômico'!$AB$4:$AB$323,MATCH(1,('Resultado econômico'!$A$4:$A$323="Lote maior - base 8,5@")*('Resultado econômico'!$B$4:$B$323="Econômica")*('Resultado econômico'!$C$4:$C$323="Base")*('Resultado econômico'!$D$4:$D$323=B15),0))</x:f>
        <x:v>Bom giro</x:v>
      </x:c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</x:row>
    <x:row r="16">
      <x:c r="A16" s="19" t="str">
        <x:v>Lote maior - base 8,5@</x:v>
      </x:c>
      <x:c r="B16" s="23" t="n">
        <x:v>10.5</x:v>
      </x:c>
      <x:c r="C16" s="23" t="n">
        <x:f>INDEX('Resultado econômico'!$L$4:$L$323,MATCH(1,('Resultado econômico'!$A$4:$A$323="Lote maior - base 8,5@")*('Resultado econômico'!$B$4:$B$323="Econômica")*('Resultado econômico'!$C$4:$C$323="Base")*('Resultado econômico'!$D$4:$D$323=B16),0))</x:f>
        <x:v>109.09090909090901</x:v>
      </x:c>
      <x:c r="D16" s="21" t="n">
        <x:f>INDEX('Resultado econômico'!$Q$4:$Q$323,MATCH(1,('Resultado econômico'!$A$4:$A$323="Lote maior - base 8,5@")*('Resultado econômico'!$B$4:$B$323="Econômica")*('Resultado econômico'!$C$4:$C$323="Base")*('Resultado econômico'!$D$4:$D$323=B16),0))</x:f>
        <x:v>253.98446280991715</x:v>
      </x:c>
      <x:c r="E16" s="21" t="n">
        <x:f>INDEX('Resultado econômico'!$S$4:$S$323,MATCH(1,('Resultado econômico'!$A$4:$A$323="Lote maior - base 8,5@")*('Resultado econômico'!$B$4:$B$323="Econômica")*('Resultado econômico'!$C$4:$C$323="Base")*('Resultado econômico'!$D$4:$D$323=B16),0))</x:f>
        <x:v>3465</x:v>
      </x:c>
      <x:c r="F16" s="21" t="n">
        <x:f>INDEX('Resultado econômico'!$U$4:$U$323,MATCH(1,('Resultado econômico'!$A$4:$A$323="Lote maior - base 8,5@")*('Resultado econômico'!$B$4:$B$323="Econômica")*('Resultado econômico'!$C$4:$C$323="Base")*('Resultado econômico'!$D$4:$D$323=B16),0))</x:f>
        <x:v>1261.0155371900828</x:v>
      </x:c>
      <x:c r="G16" s="20" t="n">
        <x:f>INDEX('Resultado econômico'!$W$4:$W$323,MATCH(1,('Resultado econômico'!$A$4:$A$323="Lote maior - base 8,5@")*('Resultado econômico'!$B$4:$B$323="Econômica")*('Resultado econômico'!$C$4:$C$323="Base")*('Resultado econômico'!$D$4:$D$323=B16),0))</x:f>
        <x:v>0.36392944796250587</x:v>
      </x:c>
      <x:c r="H16" s="19" t="str">
        <x:f>INDEX('Resultado econômico'!$AB$4:$AB$323,MATCH(1,('Resultado econômico'!$A$4:$A$323="Lote maior - base 8,5@")*('Resultado econômico'!$B$4:$B$323="Econômica")*('Resultado econômico'!$C$4:$C$323="Base")*('Resultado econômico'!$D$4:$D$323=B16),0))</x:f>
        <x:v>Bom giro</x:v>
      </x:c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</x:row>
    <x:row r="17">
      <x:c r="A17" s="19" t="str">
        <x:v>Lote maior - base 8,5@</x:v>
      </x:c>
      <x:c r="B17" s="23" t="n">
        <x:v>11</x:v>
      </x:c>
      <x:c r="C17" s="23" t="n">
        <x:f>INDEX('Resultado econômico'!$L$4:$L$323,MATCH(1,('Resultado econômico'!$A$4:$A$323="Lote maior - base 8,5@")*('Resultado econômico'!$B$4:$B$323="Econômica")*('Resultado econômico'!$C$4:$C$323="Base")*('Resultado econômico'!$D$4:$D$323=B17),0))</x:f>
        <x:v>136.36363636363637</x:v>
      </x:c>
      <x:c r="D17" s="21" t="n">
        <x:f>INDEX('Resultado econômico'!$Q$4:$Q$323,MATCH(1,('Resultado econômico'!$A$4:$A$323="Lote maior - base 8,5@")*('Resultado econômico'!$B$4:$B$323="Econômica")*('Resultado econômico'!$C$4:$C$323="Base")*('Resultado econômico'!$D$4:$D$323=B17),0))</x:f>
        <x:v>325.83533057851236</x:v>
      </x:c>
      <x:c r="E17" s="21" t="n">
        <x:f>INDEX('Resultado econômico'!$S$4:$S$323,MATCH(1,('Resultado econômico'!$A$4:$A$323="Lote maior - base 8,5@")*('Resultado econômico'!$B$4:$B$323="Econômica")*('Resultado econômico'!$C$4:$C$323="Base")*('Resultado econômico'!$D$4:$D$323=B17),0))</x:f>
        <x:v>3630</x:v>
      </x:c>
      <x:c r="F17" s="21" t="n">
        <x:f>INDEX('Resultado econômico'!$U$4:$U$323,MATCH(1,('Resultado econômico'!$A$4:$A$323="Lote maior - base 8,5@")*('Resultado econômico'!$B$4:$B$323="Econômica")*('Resultado econômico'!$C$4:$C$323="Base")*('Resultado econômico'!$D$4:$D$323=B17),0))</x:f>
        <x:v>1354.1646694214876</x:v>
      </x:c>
      <x:c r="G17" s="20" t="n">
        <x:f>INDEX('Resultado econômico'!$W$4:$W$323,MATCH(1,('Resultado econômico'!$A$4:$A$323="Lote maior - base 8,5@")*('Resultado econômico'!$B$4:$B$323="Econômica")*('Resultado econômico'!$C$4:$C$323="Base")*('Resultado econômico'!$D$4:$D$323=B17),0))</x:f>
        <x:v>0.37304811829793044</x:v>
      </x:c>
      <x:c r="H17" s="19" t="str">
        <x:f>INDEX('Resultado econômico'!$AB$4:$AB$323,MATCH(1,('Resultado econômico'!$A$4:$A$323="Lote maior - base 8,5@")*('Resultado econômico'!$B$4:$B$323="Econômica")*('Resultado econômico'!$C$4:$C$323="Base")*('Resultado econômico'!$D$4:$D$323=B17),0))</x:f>
        <x:v>Risco seca</x:v>
      </x:c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</x:row>
    <x:row r="18">
      <x:c r="A18" s="19" t="str">
        <x:v>Lote maior - base 8,5@</x:v>
      </x:c>
      <x:c r="B18" s="23" t="n">
        <x:v>12</x:v>
      </x:c>
      <x:c r="C18" s="23" t="n">
        <x:f>INDEX('Resultado econômico'!$L$4:$L$323,MATCH(1,('Resultado econômico'!$A$4:$A$323="Lote maior - base 8,5@")*('Resultado econômico'!$B$4:$B$323="Econômica")*('Resultado econômico'!$C$4:$C$323="Base")*('Resultado econômico'!$D$4:$D$323=B18),0))</x:f>
        <x:v>190.90909090909088</x:v>
      </x:c>
      <x:c r="D18" s="21" t="n">
        <x:f>INDEX('Resultado econômico'!$Q$4:$Q$323,MATCH(1,('Resultado econômico'!$A$4:$A$323="Lote maior - base 8,5@")*('Resultado econômico'!$B$4:$B$323="Econômica")*('Resultado econômico'!$C$4:$C$323="Base")*('Resultado econômico'!$D$4:$D$323=B18),0))</x:f>
        <x:v>479.56276859504123</x:v>
      </x:c>
      <x:c r="E18" s="21" t="n">
        <x:f>INDEX('Resultado econômico'!$S$4:$S$323,MATCH(1,('Resultado econômico'!$A$4:$A$323="Lote maior - base 8,5@")*('Resultado econômico'!$B$4:$B$323="Econômica")*('Resultado econômico'!$C$4:$C$323="Base")*('Resultado econômico'!$D$4:$D$323=B18),0))</x:f>
        <x:v>3960</x:v>
      </x:c>
      <x:c r="F18" s="21" t="n">
        <x:f>INDEX('Resultado econômico'!$U$4:$U$323,MATCH(1,('Resultado econômico'!$A$4:$A$323="Lote maior - base 8,5@")*('Resultado econômico'!$B$4:$B$323="Econômica")*('Resultado econômico'!$C$4:$C$323="Base")*('Resultado econômico'!$D$4:$D$323=B18),0))</x:f>
        <x:v>1530.4372314049588</x:v>
      </x:c>
      <x:c r="G18" s="20" t="n">
        <x:f>INDEX('Resultado econômico'!$W$4:$W$323,MATCH(1,('Resultado econômico'!$A$4:$A$323="Lote maior - base 8,5@")*('Resultado econômico'!$B$4:$B$323="Econômica")*('Resultado econômico'!$C$4:$C$323="Base")*('Resultado econômico'!$D$4:$D$323=B18),0))</x:f>
        <x:v>0.38647404833458554</x:v>
      </x:c>
      <x:c r="H18" s="19" t="str">
        <x:f>INDEX('Resultado econômico'!$AB$4:$AB$323,MATCH(1,('Resultado econômico'!$A$4:$A$323="Lote maior - base 8,5@")*('Resultado econômico'!$B$4:$B$323="Econômica")*('Resultado econômico'!$C$4:$C$323="Base")*('Resultado econômico'!$D$4:$D$323=B18),0))</x:f>
        <x:v>Risco seca</x:v>
      </x:c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  <x:c r="AA25" s="17"/>
      <x:c r="AB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  <x:c r="AA26" s="17"/>
      <x:c r="AB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  <x:c r="AA27" s="17"/>
      <x:c r="AB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  <x:c r="AA28" s="17"/>
      <x:c r="AB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  <x:c r="AA29" s="17"/>
      <x:c r="AB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  <x:c r="AA30" s="17"/>
      <x:c r="AB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  <x:c r="AA32" s="17"/>
      <x:c r="AB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  <x:c r="AA33" s="17"/>
      <x:c r="AB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  <x:c r="AA34" s="17"/>
      <x:c r="AB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  <x:c r="AA35" s="17"/>
      <x:c r="AB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  <x:c r="AA36" s="17"/>
      <x:c r="AB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  <x:c r="AA37" s="17"/>
      <x:c r="AB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  <x:c r="AA40" s="17"/>
      <x:c r="AB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  <x:c r="AA41" s="17"/>
      <x:c r="AB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  <x:c r="AA42" s="17"/>
      <x:c r="AB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  <x:c r="AA44" s="17"/>
      <x:c r="AB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  <x:c r="AA45" s="17"/>
      <x:c r="AB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  <x:c r="AA46" s="17"/>
      <x:c r="AB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  <x:c r="AA47" s="17"/>
      <x:c r="AB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  <x:c r="AA48" s="17"/>
      <x:c r="AB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  <x:c r="AA49" s="17"/>
      <x:c r="AB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  <x:c r="AA51" s="17"/>
      <x:c r="AB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  <x:c r="AA52" s="17"/>
      <x:c r="AB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  <x:c r="AA53" s="17"/>
      <x:c r="AB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  <x:c r="AA54" s="17"/>
      <x:c r="AB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  <x:c r="AA55" s="17"/>
      <x:c r="AB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  <x:c r="AA56" s="17"/>
      <x:c r="AB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  <x:c r="AA57" s="17"/>
      <x:c r="AB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  <x:c r="AA58" s="17"/>
      <x:c r="AB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  <x:c r="AA59" s="17"/>
      <x:c r="AB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  <x:c r="AA60" s="17"/>
      <x:c r="AB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  <x:c r="AA61" s="17"/>
      <x:c r="AB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  <x:c r="AA62" s="17"/>
      <x:c r="AB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  <x:c r="AA63" s="17"/>
      <x:c r="AB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  <x:c r="AA64" s="17"/>
      <x:c r="AB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  <x:c r="AA65" s="17"/>
      <x:c r="AB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  <x:c r="AA66" s="17"/>
      <x:c r="AB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  <x:c r="AA68" s="17"/>
      <x:c r="AB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  <x:c r="AA69" s="17"/>
      <x:c r="AB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  <x:c r="AA70" s="17"/>
      <x:c r="AB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  <x:c r="AA71" s="17"/>
      <x:c r="AB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  <x:c r="AA72" s="17"/>
      <x:c r="AB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  <x:c r="AA74" s="17"/>
      <x:c r="AB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  <x:c r="AA75" s="17"/>
      <x:c r="AB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  <x:c r="AA77" s="17"/>
      <x:c r="AB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  <x:c r="AA78" s="17"/>
      <x:c r="AB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  <x:c r="AA79" s="17"/>
      <x:c r="AB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  <x:c r="AA80" s="17"/>
      <x:c r="AB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  <x:c r="AA81" s="17"/>
      <x:c r="AB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  <x:c r="AA82" s="17"/>
      <x:c r="AB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  <x:c r="AA83" s="17"/>
      <x:c r="AB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  <x:c r="AA84" s="17"/>
      <x:c r="AB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  <x:c r="AA85" s="17"/>
      <x:c r="AB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  <x:c r="AA86" s="17"/>
      <x:c r="AB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  <x:c r="AA87" s="17"/>
      <x:c r="AB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  <x:c r="AA88" s="17"/>
      <x:c r="AB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  <x:c r="AA89" s="17"/>
      <x:c r="AB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  <x:c r="AA90" s="17"/>
      <x:c r="AB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  <x:c r="AA91" s="17"/>
      <x:c r="AB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  <x:c r="AA92" s="17"/>
      <x:c r="AB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  <x:c r="AA94" s="17"/>
      <x:c r="AB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  <x:c r="AA95" s="17"/>
      <x:c r="AB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  <x:c r="AA97" s="17"/>
      <x:c r="AB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  <x:c r="AA98" s="17"/>
      <x:c r="AB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  <x:c r="AA102" s="17"/>
      <x:c r="AB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  <x:c r="AA103" s="17"/>
      <x:c r="AB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  <x:c r="AA104" s="17"/>
      <x:c r="AB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  <x:c r="AA105" s="17"/>
      <x:c r="AB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  <x:c r="AA107" s="17"/>
      <x:c r="AB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  <x:c r="AA110" s="17"/>
      <x:c r="AB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  <x:c r="AA114" s="17"/>
      <x:c r="AB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  <x:c r="AA117" s="17"/>
      <x:c r="AB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  <x:c r="AA119" s="17"/>
      <x:c r="AB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  <x:c r="AA120" s="17"/>
      <x:c r="AB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  <x:c r="AA121" s="17"/>
      <x:c r="AB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  <x:c r="AA122" s="17"/>
      <x:c r="AB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  <x:c r="AA123" s="17"/>
      <x:c r="AB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  <x:c r="AA125" s="17"/>
      <x:c r="AB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  <x:c r="AA126" s="17"/>
      <x:c r="AB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  <x:c r="AA127" s="17"/>
      <x:c r="AB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  <x:c r="AA128" s="17"/>
      <x:c r="AB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  <x:c r="AA129" s="17"/>
      <x:c r="AB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  <x:c r="AA130" s="17"/>
      <x:c r="AB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  <x:c r="AA131" s="17"/>
      <x:c r="AB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  <x:c r="AA132" s="17"/>
      <x:c r="AB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  <x:c r="AA133" s="17"/>
      <x:c r="AB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  <x:c r="AA136" s="17"/>
      <x:c r="AB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  <x:c r="AA137" s="17"/>
      <x:c r="AB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  <x:c r="AA140" s="17"/>
      <x:c r="AB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  <x:c r="AA143" s="17"/>
      <x:c r="AB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  <x:c r="AA144" s="17"/>
      <x:c r="AB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  <x:c r="AA145" s="17"/>
      <x:c r="AB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  <x:c r="AA146" s="17"/>
      <x:c r="AB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  <x:c r="AA147" s="17"/>
      <x:c r="AB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  <x:c r="AA149" s="17"/>
      <x:c r="AB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  <x:c r="AA151" s="17"/>
      <x:c r="AB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  <x:c r="AA152" s="17"/>
      <x:c r="AB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  <x:c r="AA153" s="17"/>
      <x:c r="AB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  <x:c r="AA155" s="17"/>
      <x:c r="AB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  <x:c r="AA156" s="17"/>
      <x:c r="AB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  <x:c r="AA158" s="17"/>
      <x:c r="AB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  <x:c r="AA159" s="17"/>
      <x:c r="AB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  <x:c r="AA160" s="17"/>
      <x:c r="AB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  <x:c r="AA163" s="17"/>
      <x:c r="AB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  <x:c r="AA164" s="17"/>
      <x:c r="AB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  <x:c r="AA165" s="17"/>
      <x:c r="AB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  <x:c r="AA166" s="17"/>
      <x:c r="AB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  <x:c r="AA168" s="17"/>
      <x:c r="AB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  <x:c r="AA169" s="17"/>
      <x:c r="AB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  <x:c r="AA171" s="17"/>
      <x:c r="AB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  <x:c r="AA172" s="17"/>
      <x:c r="AB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  <x:c r="AA173" s="17"/>
      <x:c r="AB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  <x:c r="AA174" s="17"/>
      <x:c r="AB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  <x:c r="AA175" s="17"/>
      <x:c r="AB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  <x:c r="AA176" s="17"/>
      <x:c r="AB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  <x:c r="AA178" s="17"/>
      <x:c r="AB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  <x:c r="AA180" s="17"/>
      <x:c r="AB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  <x:c r="AA181" s="17"/>
      <x:c r="AB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  <x:c r="AA182" s="17"/>
      <x:c r="AB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  <x:c r="AA184" s="17"/>
      <x:c r="AB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  <x:c r="AA185" s="17"/>
      <x:c r="AB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  <x:c r="AA187" s="17"/>
      <x:c r="AB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  <x:c r="AA190" s="17"/>
      <x:c r="AB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  <x:c r="AA191" s="17"/>
      <x:c r="AB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  <x:c r="AA192" s="17"/>
      <x:c r="AB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  <x:c r="AA193" s="17"/>
      <x:c r="AB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  <x:c r="AA196" s="17"/>
      <x:c r="AB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  <x:c r="AA197" s="17"/>
      <x:c r="AB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  <x:c r="AA200" s="17"/>
      <x:c r="AB200" s="17"/>
    </x:row>
  </x:sheetData>
  <x:mergeCells>
    <x:mergeCell ref="A1:H1"/>
  </x:mergeCells>
  <x:pageMargins left="0.7" right="0.7" top="0.75" bottom="0.75" header="0.3" footer="0.3"/>
</x:worksheet>
</file>